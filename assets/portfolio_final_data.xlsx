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jeet\Babson_College\Course_work\Sem_2\PM\"/>
    </mc:Choice>
  </mc:AlternateContent>
  <xr:revisionPtr revIDLastSave="0" documentId="13_ncr:1_{2CC0A72F-A7C4-412E-96B5-C004A6D3320A}" xr6:coauthVersionLast="47" xr6:coauthVersionMax="47" xr10:uidLastSave="{00000000-0000-0000-0000-000000000000}"/>
  <bookViews>
    <workbookView xWindow="-110" yWindow="-110" windowWidth="19420" windowHeight="10300" activeTab="1" xr2:uid="{A6F020F8-63A9-41D8-AB1F-ED376749E657}"/>
  </bookViews>
  <sheets>
    <sheet name="Price_data" sheetId="1" r:id="rId1"/>
    <sheet name="holdings" sheetId="2" r:id="rId2"/>
  </sheets>
  <definedNames>
    <definedName name="_bdm.77bac2861d96474d9c3ea784ff530248.edm" hidden="1">holdings!$1:$1048576</definedName>
    <definedName name="_bdm.ef9306b14be4465782090135871618dd.edm" localSheetId="1" hidden="1">holdings!$A$1:$J$35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J3" i="2" s="1"/>
  <c r="J25" i="2"/>
  <c r="J20" i="2"/>
  <c r="J22" i="2"/>
  <c r="J7" i="2"/>
  <c r="J10" i="2"/>
  <c r="J15" i="2"/>
  <c r="J16" i="2"/>
  <c r="J18" i="2"/>
  <c r="H30" i="2"/>
  <c r="J30" i="2" s="1"/>
  <c r="H31" i="2"/>
  <c r="J31" i="2" s="1"/>
  <c r="H32" i="2"/>
  <c r="J32" i="2" s="1"/>
  <c r="H17" i="2"/>
  <c r="J17" i="2" s="1"/>
  <c r="H16" i="2"/>
  <c r="H15" i="2"/>
  <c r="H19" i="2"/>
  <c r="J19" i="2" s="1"/>
  <c r="H5" i="2"/>
  <c r="J5" i="2" s="1"/>
  <c r="H6" i="2"/>
  <c r="J6" i="2" s="1"/>
  <c r="H7" i="2"/>
  <c r="H8" i="2"/>
  <c r="J8" i="2" s="1"/>
  <c r="H9" i="2"/>
  <c r="J9" i="2" s="1"/>
  <c r="H10" i="2"/>
  <c r="H11" i="2"/>
  <c r="J11" i="2" s="1"/>
  <c r="H12" i="2"/>
  <c r="J12" i="2" s="1"/>
  <c r="H13" i="2"/>
  <c r="J13" i="2" s="1"/>
  <c r="H14" i="2"/>
  <c r="J14" i="2" s="1"/>
  <c r="H18" i="2"/>
  <c r="H21" i="2"/>
  <c r="J21" i="2" s="1"/>
  <c r="H22" i="2"/>
  <c r="H23" i="2"/>
  <c r="J23" i="2" s="1"/>
  <c r="H24" i="2"/>
  <c r="J24" i="2" s="1"/>
  <c r="H25" i="2"/>
  <c r="H26" i="2"/>
  <c r="J26" i="2" s="1"/>
  <c r="H27" i="2"/>
  <c r="J27" i="2" s="1"/>
  <c r="H28" i="2"/>
  <c r="J28" i="2" s="1"/>
  <c r="H29" i="2"/>
  <c r="J29" i="2" s="1"/>
  <c r="H4" i="2"/>
  <c r="J4" i="2" s="1"/>
  <c r="D30" i="2"/>
  <c r="F30" i="2" s="1"/>
  <c r="D32" i="2"/>
  <c r="F32" i="2" s="1"/>
  <c r="F31" i="2"/>
  <c r="F27" i="2"/>
  <c r="F28" i="2"/>
  <c r="F29" i="2"/>
  <c r="F22" i="2"/>
  <c r="F7" i="2"/>
  <c r="F8" i="2"/>
  <c r="F10" i="2"/>
  <c r="F15" i="2"/>
  <c r="F16" i="2"/>
  <c r="F17" i="2"/>
  <c r="F18" i="2"/>
  <c r="F19" i="2"/>
  <c r="F4" i="2"/>
  <c r="D5" i="2"/>
  <c r="F5" i="2" s="1"/>
  <c r="D6" i="2"/>
  <c r="F6" i="2" s="1"/>
  <c r="D7" i="2"/>
  <c r="D8" i="2"/>
  <c r="D9" i="2"/>
  <c r="F9" i="2" s="1"/>
  <c r="D10" i="2"/>
  <c r="D11" i="2"/>
  <c r="F11" i="2" s="1"/>
  <c r="D12" i="2"/>
  <c r="F12" i="2" s="1"/>
  <c r="D13" i="2"/>
  <c r="F13" i="2" s="1"/>
  <c r="D14" i="2"/>
  <c r="F14" i="2" s="1"/>
  <c r="D18" i="2"/>
  <c r="D20" i="2"/>
  <c r="F20" i="2" s="1"/>
  <c r="D21" i="2"/>
  <c r="F21" i="2" s="1"/>
  <c r="D22" i="2"/>
  <c r="D23" i="2"/>
  <c r="F23" i="2" s="1"/>
  <c r="D24" i="2"/>
  <c r="F24" i="2" s="1"/>
  <c r="D25" i="2"/>
  <c r="F25" i="2" s="1"/>
  <c r="D26" i="2"/>
  <c r="F26" i="2" s="1"/>
  <c r="D27" i="2"/>
  <c r="D28" i="2"/>
  <c r="D29" i="2"/>
  <c r="D4" i="2"/>
  <c r="G34" i="2" l="1"/>
  <c r="B34" i="2"/>
  <c r="B35" i="2" l="1"/>
</calcChain>
</file>

<file path=xl/sharedStrings.xml><?xml version="1.0" encoding="utf-8"?>
<sst xmlns="http://schemas.openxmlformats.org/spreadsheetml/2006/main" count="75" uniqueCount="71">
  <si>
    <t>Date</t>
  </si>
  <si>
    <t>AAT</t>
  </si>
  <si>
    <t>ACWI</t>
  </si>
  <si>
    <t>AJG</t>
  </si>
  <si>
    <t>ARKK</t>
  </si>
  <si>
    <t>BND</t>
  </si>
  <si>
    <t>BRK/B</t>
  </si>
  <si>
    <t>FRT</t>
  </si>
  <si>
    <t>GLD</t>
  </si>
  <si>
    <t>JNJ</t>
  </si>
  <si>
    <t>KO</t>
  </si>
  <si>
    <t>LLY</t>
  </si>
  <si>
    <t>LLY_US_ C1020 sell</t>
  </si>
  <si>
    <t>LLY _US_P8980buy</t>
  </si>
  <si>
    <t>LLY)US_P920buy'</t>
  </si>
  <si>
    <t>NVDA</t>
  </si>
  <si>
    <t>NVDa_c14-0SELL</t>
  </si>
  <si>
    <t>nvda_C120sell</t>
  </si>
  <si>
    <t>PLTR</t>
  </si>
  <si>
    <t>Ura</t>
  </si>
  <si>
    <t>voo</t>
  </si>
  <si>
    <t>appl 2/23/36</t>
  </si>
  <si>
    <t>jpm.5.336_01/23./35</t>
  </si>
  <si>
    <t>oxy_07/15/30</t>
  </si>
  <si>
    <t>pfe 02/01/34</t>
  </si>
  <si>
    <t>vz 6.4_09/15/33</t>
  </si>
  <si>
    <t>SPXW_P5580_buy</t>
  </si>
  <si>
    <t>SPXW _P5840</t>
  </si>
  <si>
    <t xml:space="preserve">Security </t>
  </si>
  <si>
    <t xml:space="preserve">Position </t>
  </si>
  <si>
    <t>Price</t>
  </si>
  <si>
    <t xml:space="preserve">Principal </t>
  </si>
  <si>
    <t>Market Value</t>
  </si>
  <si>
    <t xml:space="preserve">Cost as on purchase </t>
  </si>
  <si>
    <t>Cash</t>
  </si>
  <si>
    <t xml:space="preserve">AAT US </t>
  </si>
  <si>
    <t xml:space="preserve">ACWI US </t>
  </si>
  <si>
    <t>ARKK US</t>
  </si>
  <si>
    <t xml:space="preserve">BND US </t>
  </si>
  <si>
    <t xml:space="preserve">BRK/B US </t>
  </si>
  <si>
    <t xml:space="preserve">FRT US </t>
  </si>
  <si>
    <t xml:space="preserve">GLD US </t>
  </si>
  <si>
    <t>JNJ US</t>
  </si>
  <si>
    <t xml:space="preserve">KO US </t>
  </si>
  <si>
    <t xml:space="preserve">LLY US </t>
  </si>
  <si>
    <t>LLY US 03/21/25 C1020</t>
  </si>
  <si>
    <t>LLY US 04/17/25 P890</t>
  </si>
  <si>
    <t>LLY US 04/17/25 P920</t>
  </si>
  <si>
    <t xml:space="preserve">NVDA US </t>
  </si>
  <si>
    <t>NVDA US 03/21/25 C140</t>
  </si>
  <si>
    <t>NVDA US 04/17/25 C120</t>
  </si>
  <si>
    <t xml:space="preserve">PG US </t>
  </si>
  <si>
    <t>PLTR US</t>
  </si>
  <si>
    <t xml:space="preserve">URA US </t>
  </si>
  <si>
    <t xml:space="preserve">VOO US </t>
  </si>
  <si>
    <t xml:space="preserve">APPL 4 1/2 02/23/36 </t>
  </si>
  <si>
    <t>JPM 5.336 01/23.35</t>
  </si>
  <si>
    <t xml:space="preserve">OXY 8 7/8 07/15/30 </t>
  </si>
  <si>
    <t>PFE 6 1/2 02/01/34</t>
  </si>
  <si>
    <t xml:space="preserve">VZ 6.4 09/15/33 </t>
  </si>
  <si>
    <t xml:space="preserve">SPXW US 04/30/25 P5580 </t>
  </si>
  <si>
    <t xml:space="preserve">SPXW US 04/30/25 P5840 </t>
  </si>
  <si>
    <t xml:space="preserve">AJG US </t>
  </si>
  <si>
    <t>Gold 100 oz April 2025 futures</t>
  </si>
  <si>
    <t>-</t>
  </si>
  <si>
    <t>TOTAL</t>
  </si>
  <si>
    <t>PROFIT/(LOSS)</t>
  </si>
  <si>
    <t>Accurued Int</t>
  </si>
  <si>
    <t>Core Holdings &gt;</t>
  </si>
  <si>
    <t>Satellight holdings &gt;</t>
  </si>
  <si>
    <t xml:space="preserve">Last valued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</si>
</sst>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44" fontId="0" fillId="0" borderId="0" xfId="0" applyNumberFormat="1"/>
    <xf numFmtId="0" fontId="0" fillId="3" borderId="0" xfId="0" applyFill="1"/>
    <xf numFmtId="0" fontId="0" fillId="4" borderId="0" xfId="0" applyFill="1"/>
    <xf numFmtId="2" fontId="0" fillId="0" borderId="0" xfId="0" applyNumberFormat="1"/>
    <xf numFmtId="44" fontId="2" fillId="0" borderId="1" xfId="0" applyNumberFormat="1" applyFont="1" applyBorder="1"/>
    <xf numFmtId="44" fontId="2" fillId="0" borderId="6" xfId="0" applyNumberFormat="1" applyFont="1" applyBorder="1"/>
    <xf numFmtId="0" fontId="2" fillId="0" borderId="5" xfId="0" applyFont="1" applyBorder="1"/>
    <xf numFmtId="2" fontId="2" fillId="0" borderId="1" xfId="0" applyNumberFormat="1" applyFont="1" applyBorder="1"/>
    <xf numFmtId="0" fontId="2" fillId="0" borderId="0" xfId="0" applyFont="1"/>
    <xf numFmtId="0" fontId="2" fillId="4" borderId="5" xfId="0" applyFont="1" applyFill="1" applyBorder="1"/>
    <xf numFmtId="0" fontId="2" fillId="3" borderId="5" xfId="0" applyFont="1" applyFill="1" applyBorder="1"/>
    <xf numFmtId="0" fontId="3" fillId="0" borderId="5" xfId="0" applyFont="1" applyBorder="1"/>
    <xf numFmtId="0" fontId="3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4" fontId="2" fillId="0" borderId="3" xfId="0" applyNumberFormat="1" applyFont="1" applyBorder="1" applyAlignment="1">
      <alignment horizontal="center"/>
    </xf>
    <xf numFmtId="44" fontId="2" fillId="0" borderId="4" xfId="0" applyNumberFormat="1" applyFont="1" applyBorder="1" applyAlignment="1">
      <alignment horizontal="center"/>
    </xf>
    <xf numFmtId="44" fontId="3" fillId="2" borderId="8" xfId="0" applyNumberFormat="1" applyFont="1" applyFill="1" applyBorder="1" applyAlignment="1">
      <alignment horizontal="center"/>
    </xf>
    <xf numFmtId="44" fontId="3" fillId="2" borderId="9" xfId="0" applyNumberFormat="1" applyFont="1" applyFill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2" fillId="0" borderId="6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2417-B6E3-48E7-BBED-42B0CBEC34EF}">
  <dimension ref="A1:BB49"/>
  <sheetViews>
    <sheetView topLeftCell="A36" workbookViewId="0">
      <selection activeCell="BC2" sqref="BC2"/>
    </sheetView>
  </sheetViews>
  <sheetFormatPr defaultRowHeight="14.5" x14ac:dyDescent="0.35"/>
  <cols>
    <col min="1" max="1" width="9.7265625" bestFit="1" customWidth="1"/>
  </cols>
  <sheetData>
    <row r="1" spans="1:54" x14ac:dyDescent="0.35">
      <c r="A1" t="s">
        <v>0</v>
      </c>
      <c r="B1" t="s">
        <v>1</v>
      </c>
      <c r="D1" t="s">
        <v>2</v>
      </c>
      <c r="F1" t="s">
        <v>3</v>
      </c>
      <c r="G1" s="2"/>
      <c r="H1" t="s">
        <v>4</v>
      </c>
      <c r="I1" s="2"/>
      <c r="J1" t="s">
        <v>5</v>
      </c>
      <c r="L1" t="s">
        <v>6</v>
      </c>
      <c r="N1" t="s">
        <v>7</v>
      </c>
      <c r="P1" t="s">
        <v>8</v>
      </c>
      <c r="R1" t="s">
        <v>9</v>
      </c>
      <c r="T1" t="s">
        <v>10</v>
      </c>
      <c r="V1" t="s">
        <v>11</v>
      </c>
      <c r="X1" t="s">
        <v>12</v>
      </c>
      <c r="Z1" t="s">
        <v>13</v>
      </c>
      <c r="AB1" t="s">
        <v>14</v>
      </c>
      <c r="AD1" t="s">
        <v>15</v>
      </c>
      <c r="AF1" t="s">
        <v>16</v>
      </c>
      <c r="AH1" t="s">
        <v>17</v>
      </c>
      <c r="AJ1" t="s">
        <v>18</v>
      </c>
      <c r="AL1" t="s">
        <v>19</v>
      </c>
      <c r="AN1" t="s">
        <v>20</v>
      </c>
      <c r="AP1" t="s">
        <v>21</v>
      </c>
      <c r="AR1" t="s">
        <v>22</v>
      </c>
      <c r="AT1" t="s">
        <v>23</v>
      </c>
      <c r="AV1" t="s">
        <v>24</v>
      </c>
      <c r="AX1" t="s">
        <v>25</v>
      </c>
      <c r="AZ1" t="s">
        <v>26</v>
      </c>
      <c r="BB1" t="s">
        <v>27</v>
      </c>
    </row>
    <row r="2" spans="1:54" x14ac:dyDescent="0.35">
      <c r="A2" s="1">
        <v>45762</v>
      </c>
      <c r="B2">
        <v>18.91</v>
      </c>
      <c r="C2" s="1"/>
      <c r="D2">
        <v>112.72</v>
      </c>
      <c r="E2" s="1"/>
      <c r="F2">
        <v>335.56</v>
      </c>
      <c r="G2" s="3"/>
      <c r="H2">
        <v>46.55</v>
      </c>
      <c r="I2" s="3"/>
      <c r="J2">
        <v>72.61</v>
      </c>
      <c r="K2" s="1"/>
      <c r="L2">
        <v>528.16999999999996</v>
      </c>
      <c r="M2" s="1"/>
      <c r="N2">
        <v>92.3</v>
      </c>
      <c r="O2" s="1"/>
      <c r="P2">
        <v>297.77999999999997</v>
      </c>
      <c r="Q2" s="1"/>
      <c r="R2">
        <v>153.62</v>
      </c>
      <c r="S2" s="1"/>
      <c r="T2">
        <v>71.86</v>
      </c>
      <c r="U2" s="1"/>
      <c r="V2">
        <v>757.18</v>
      </c>
      <c r="W2" s="1"/>
      <c r="Y2" s="1"/>
      <c r="Z2">
        <v>135.35</v>
      </c>
      <c r="AA2" s="1"/>
      <c r="AC2" s="1"/>
      <c r="AD2">
        <v>112.2</v>
      </c>
      <c r="AE2" s="1"/>
      <c r="AG2" s="1"/>
      <c r="AH2">
        <v>0.12</v>
      </c>
      <c r="AI2" s="1"/>
      <c r="AJ2">
        <v>98.4</v>
      </c>
      <c r="AK2" s="1"/>
      <c r="AL2">
        <v>22.73</v>
      </c>
      <c r="AM2" s="1"/>
      <c r="AN2">
        <v>494.09</v>
      </c>
      <c r="AO2" s="1"/>
      <c r="AP2">
        <v>98.308999999999997</v>
      </c>
      <c r="AQ2" s="1"/>
      <c r="AR2">
        <v>99.201999999999998</v>
      </c>
      <c r="AS2" s="1"/>
      <c r="AT2">
        <v>111.032</v>
      </c>
      <c r="AU2" s="1"/>
      <c r="AV2">
        <v>109.122</v>
      </c>
      <c r="AW2" s="1"/>
      <c r="AX2">
        <v>107.923</v>
      </c>
      <c r="AY2" s="1"/>
      <c r="AZ2">
        <v>199.32</v>
      </c>
      <c r="BA2" s="1"/>
    </row>
    <row r="3" spans="1:54" x14ac:dyDescent="0.35">
      <c r="A3" s="1">
        <v>45761</v>
      </c>
      <c r="B3">
        <v>18.829999999999998</v>
      </c>
      <c r="C3" s="1"/>
      <c r="D3">
        <v>112.65</v>
      </c>
      <c r="E3" s="1"/>
      <c r="F3">
        <v>342.92</v>
      </c>
      <c r="G3" s="3"/>
      <c r="H3">
        <v>46.26</v>
      </c>
      <c r="I3" s="3"/>
      <c r="J3">
        <v>72.430000000000007</v>
      </c>
      <c r="K3" s="1"/>
      <c r="L3">
        <v>529.52</v>
      </c>
      <c r="M3" s="1"/>
      <c r="N3">
        <v>92.28</v>
      </c>
      <c r="O3" s="1"/>
      <c r="P3">
        <v>296.23</v>
      </c>
      <c r="Q3" s="1"/>
      <c r="R3">
        <v>154.36000000000001</v>
      </c>
      <c r="S3" s="1"/>
      <c r="T3">
        <v>72.45</v>
      </c>
      <c r="U3" s="1"/>
      <c r="V3">
        <v>754.35</v>
      </c>
      <c r="W3" s="1"/>
      <c r="X3">
        <v>0.05</v>
      </c>
      <c r="Y3" s="1"/>
      <c r="Z3">
        <v>131.35</v>
      </c>
      <c r="AA3" s="1"/>
      <c r="AB3">
        <v>205.55</v>
      </c>
      <c r="AC3" s="1"/>
      <c r="AD3">
        <v>110.71</v>
      </c>
      <c r="AE3" s="1"/>
      <c r="AF3">
        <v>0.01</v>
      </c>
      <c r="AG3" s="1"/>
      <c r="AH3">
        <v>0.28000000000000003</v>
      </c>
      <c r="AI3" s="1"/>
      <c r="AJ3">
        <v>92.62</v>
      </c>
      <c r="AK3" s="1"/>
      <c r="AL3">
        <v>22.84</v>
      </c>
      <c r="AM3" s="1"/>
      <c r="AN3">
        <v>495.48</v>
      </c>
      <c r="AO3" s="1"/>
      <c r="AP3">
        <v>97.873000000000005</v>
      </c>
      <c r="AQ3" s="1"/>
      <c r="AR3">
        <v>98.831999999999994</v>
      </c>
      <c r="AS3" s="1"/>
      <c r="AT3">
        <v>110.705</v>
      </c>
      <c r="AU3" s="1"/>
      <c r="AV3">
        <v>108.70099999999999</v>
      </c>
      <c r="AW3" s="1"/>
      <c r="AX3">
        <v>107.8</v>
      </c>
      <c r="AY3" s="1"/>
      <c r="AZ3">
        <v>216.6</v>
      </c>
      <c r="BA3" s="1"/>
      <c r="BB3">
        <v>854.83</v>
      </c>
    </row>
    <row r="4" spans="1:54" x14ac:dyDescent="0.35">
      <c r="A4" s="1">
        <v>45758</v>
      </c>
      <c r="B4">
        <v>18.3</v>
      </c>
      <c r="C4" s="1"/>
      <c r="D4">
        <v>111.1</v>
      </c>
      <c r="E4" s="1"/>
      <c r="F4">
        <v>334.02</v>
      </c>
      <c r="G4" s="3"/>
      <c r="H4">
        <v>45.89</v>
      </c>
      <c r="I4" s="3"/>
      <c r="J4">
        <v>72.02</v>
      </c>
      <c r="K4" s="1"/>
      <c r="L4">
        <v>524.11</v>
      </c>
      <c r="M4" s="1"/>
      <c r="N4">
        <v>90.26</v>
      </c>
      <c r="O4" s="1"/>
      <c r="P4">
        <v>297.93</v>
      </c>
      <c r="Q4" s="1"/>
      <c r="R4">
        <v>151.72999999999999</v>
      </c>
      <c r="S4" s="1"/>
      <c r="T4">
        <v>71.430000000000007</v>
      </c>
      <c r="U4" s="1"/>
      <c r="V4">
        <v>732.41</v>
      </c>
      <c r="W4" s="1"/>
      <c r="X4">
        <v>0.02</v>
      </c>
      <c r="Y4" s="1"/>
      <c r="Z4">
        <v>167.1</v>
      </c>
      <c r="AA4" s="1"/>
      <c r="AB4">
        <v>203.75</v>
      </c>
      <c r="AC4" s="1"/>
      <c r="AD4">
        <v>110.93</v>
      </c>
      <c r="AE4" s="1"/>
      <c r="AF4">
        <v>0.01</v>
      </c>
      <c r="AG4" s="1"/>
      <c r="AH4">
        <v>0.61</v>
      </c>
      <c r="AI4" s="1"/>
      <c r="AJ4">
        <v>88.55</v>
      </c>
      <c r="AK4" s="1"/>
      <c r="AL4">
        <v>22.65</v>
      </c>
      <c r="AM4" s="1"/>
      <c r="AN4">
        <v>490.55</v>
      </c>
      <c r="AO4" s="1"/>
      <c r="AP4">
        <v>96.805999999999997</v>
      </c>
      <c r="AQ4" s="1"/>
      <c r="AR4">
        <v>98.055000000000007</v>
      </c>
      <c r="AS4" s="1"/>
      <c r="AT4">
        <v>109.782</v>
      </c>
      <c r="AU4" s="1"/>
      <c r="AV4">
        <v>107.77500000000001</v>
      </c>
      <c r="AW4" s="1"/>
      <c r="AX4">
        <v>106.91500000000001</v>
      </c>
      <c r="AY4" s="1"/>
      <c r="AZ4">
        <v>295</v>
      </c>
      <c r="BA4" s="1"/>
      <c r="BB4">
        <v>618.48</v>
      </c>
    </row>
    <row r="5" spans="1:54" x14ac:dyDescent="0.35">
      <c r="A5" s="1">
        <v>45757</v>
      </c>
      <c r="B5">
        <v>17.95</v>
      </c>
      <c r="C5" s="1"/>
      <c r="D5">
        <v>109.25</v>
      </c>
      <c r="E5" s="1"/>
      <c r="F5">
        <v>325.72000000000003</v>
      </c>
      <c r="G5" s="3"/>
      <c r="H5">
        <v>44.53</v>
      </c>
      <c r="I5" s="3"/>
      <c r="J5">
        <v>72.099999999999994</v>
      </c>
      <c r="K5" s="1"/>
      <c r="L5">
        <v>515.80999999999995</v>
      </c>
      <c r="M5" s="1"/>
      <c r="N5">
        <v>88.96</v>
      </c>
      <c r="O5" s="1"/>
      <c r="P5">
        <v>292.35000000000002</v>
      </c>
      <c r="Q5" s="1"/>
      <c r="R5">
        <v>148.69</v>
      </c>
      <c r="S5" s="1"/>
      <c r="T5">
        <v>70.760000000000005</v>
      </c>
      <c r="U5" s="1"/>
      <c r="V5">
        <v>720.91</v>
      </c>
      <c r="W5" s="1"/>
      <c r="X5">
        <v>0.13</v>
      </c>
      <c r="Y5" s="1"/>
      <c r="Z5">
        <v>157</v>
      </c>
      <c r="AA5" s="1"/>
      <c r="AB5">
        <v>180.2</v>
      </c>
      <c r="AC5" s="1"/>
      <c r="AD5">
        <v>107.57</v>
      </c>
      <c r="AE5" s="1"/>
      <c r="AF5">
        <v>0.01</v>
      </c>
      <c r="AG5" s="1"/>
      <c r="AH5">
        <v>0.63</v>
      </c>
      <c r="AI5" s="1"/>
      <c r="AJ5">
        <v>88.59</v>
      </c>
      <c r="AK5" s="1"/>
      <c r="AL5">
        <v>21.59</v>
      </c>
      <c r="AM5" s="1"/>
      <c r="AN5">
        <v>482.06</v>
      </c>
      <c r="AO5" s="1"/>
      <c r="AP5">
        <v>97.290999999999997</v>
      </c>
      <c r="AQ5" s="1"/>
      <c r="AR5">
        <v>98.533000000000001</v>
      </c>
      <c r="AS5" s="1"/>
      <c r="AT5">
        <v>110.523</v>
      </c>
      <c r="AU5" s="1"/>
      <c r="AV5">
        <v>108.46299999999999</v>
      </c>
      <c r="AW5" s="1"/>
      <c r="AX5">
        <v>107.136</v>
      </c>
      <c r="AY5" s="1"/>
      <c r="AZ5">
        <v>510.15</v>
      </c>
      <c r="BA5" s="1"/>
      <c r="BB5">
        <v>198.21</v>
      </c>
    </row>
    <row r="6" spans="1:54" x14ac:dyDescent="0.35">
      <c r="A6" s="1">
        <v>45756</v>
      </c>
      <c r="B6">
        <v>18.53</v>
      </c>
      <c r="C6" s="1"/>
      <c r="D6">
        <v>112.7</v>
      </c>
      <c r="E6" s="1"/>
      <c r="F6">
        <v>323.82</v>
      </c>
      <c r="G6" s="3"/>
      <c r="H6">
        <v>47.25</v>
      </c>
      <c r="I6" s="3"/>
      <c r="J6">
        <v>72.680000000000007</v>
      </c>
      <c r="K6" s="1"/>
      <c r="L6">
        <v>521.41</v>
      </c>
      <c r="M6" s="1"/>
      <c r="N6">
        <v>90.38</v>
      </c>
      <c r="O6" s="1"/>
      <c r="P6">
        <v>285.38</v>
      </c>
      <c r="Q6" s="1"/>
      <c r="R6">
        <v>150.97</v>
      </c>
      <c r="S6" s="1"/>
      <c r="T6">
        <v>69.95</v>
      </c>
      <c r="U6" s="1"/>
      <c r="V6">
        <v>753.71</v>
      </c>
      <c r="W6" s="1"/>
      <c r="X6">
        <v>0.05</v>
      </c>
      <c r="Y6" s="1"/>
      <c r="Z6">
        <v>204.15</v>
      </c>
      <c r="AA6" s="1"/>
      <c r="AB6">
        <v>120.65</v>
      </c>
      <c r="AC6" s="1"/>
      <c r="AD6">
        <v>114.33</v>
      </c>
      <c r="AE6" s="1"/>
      <c r="AF6">
        <v>0.03</v>
      </c>
      <c r="AG6" s="1"/>
      <c r="AH6">
        <v>1.91</v>
      </c>
      <c r="AI6" s="1"/>
      <c r="AJ6">
        <v>92.01</v>
      </c>
      <c r="AK6" s="1"/>
      <c r="AL6">
        <v>22.12</v>
      </c>
      <c r="AM6" s="1"/>
      <c r="AN6">
        <v>499.1</v>
      </c>
      <c r="AO6" s="1"/>
      <c r="AP6">
        <v>97.611000000000004</v>
      </c>
      <c r="AQ6" s="1"/>
      <c r="AR6">
        <v>98.802000000000007</v>
      </c>
      <c r="AS6" s="1"/>
      <c r="AT6">
        <v>110.48699999999999</v>
      </c>
      <c r="AU6" s="1"/>
      <c r="AV6">
        <v>108.89400000000001</v>
      </c>
      <c r="AW6" s="1"/>
      <c r="AX6">
        <v>106.22</v>
      </c>
      <c r="AY6" s="1"/>
      <c r="AZ6">
        <v>220.66</v>
      </c>
      <c r="BA6" s="1"/>
      <c r="BB6">
        <v>253.23</v>
      </c>
    </row>
    <row r="7" spans="1:54" x14ac:dyDescent="0.35">
      <c r="A7" s="1">
        <v>45755</v>
      </c>
      <c r="B7">
        <v>17.29</v>
      </c>
      <c r="C7" s="1"/>
      <c r="D7">
        <v>103.59</v>
      </c>
      <c r="E7" s="1"/>
      <c r="F7">
        <v>311.52999999999997</v>
      </c>
      <c r="G7" s="3"/>
      <c r="H7">
        <v>40.51</v>
      </c>
      <c r="I7" s="3"/>
      <c r="J7">
        <v>72.510000000000005</v>
      </c>
      <c r="K7" s="1"/>
      <c r="L7">
        <v>492.64</v>
      </c>
      <c r="M7" s="1"/>
      <c r="N7">
        <v>83.56</v>
      </c>
      <c r="O7" s="1"/>
      <c r="P7">
        <v>275.2</v>
      </c>
      <c r="Q7" s="1"/>
      <c r="R7">
        <v>150</v>
      </c>
      <c r="S7" s="1"/>
      <c r="T7">
        <v>68.42</v>
      </c>
      <c r="U7" s="1"/>
      <c r="V7">
        <v>726.24</v>
      </c>
      <c r="W7" s="1"/>
      <c r="X7">
        <v>0.06</v>
      </c>
      <c r="Y7" s="1"/>
      <c r="Z7">
        <v>141.46</v>
      </c>
      <c r="AA7" s="1"/>
      <c r="AB7">
        <v>99.86</v>
      </c>
      <c r="AC7" s="1"/>
      <c r="AD7">
        <v>96.3</v>
      </c>
      <c r="AE7" s="1"/>
      <c r="AF7">
        <v>0.09</v>
      </c>
      <c r="AG7" s="1"/>
      <c r="AH7">
        <v>0.19</v>
      </c>
      <c r="AI7" s="1"/>
      <c r="AJ7">
        <v>77.319999999999993</v>
      </c>
      <c r="AK7" s="1"/>
      <c r="AL7">
        <v>20.260000000000002</v>
      </c>
      <c r="AM7" s="1"/>
      <c r="AN7">
        <v>456.74</v>
      </c>
      <c r="AO7" s="1"/>
      <c r="AP7">
        <v>97.307000000000002</v>
      </c>
      <c r="AQ7" s="1"/>
      <c r="AR7">
        <v>99.519000000000005</v>
      </c>
      <c r="AS7" s="1"/>
      <c r="AT7">
        <v>112.688</v>
      </c>
      <c r="AU7" s="1"/>
      <c r="AV7">
        <v>108.783</v>
      </c>
      <c r="AW7" s="1"/>
      <c r="AX7">
        <v>107.655</v>
      </c>
      <c r="AY7" s="1"/>
      <c r="AZ7">
        <v>73.3</v>
      </c>
      <c r="BA7" s="1"/>
      <c r="BB7">
        <v>159.80000000000001</v>
      </c>
    </row>
    <row r="8" spans="1:54" x14ac:dyDescent="0.35">
      <c r="A8" s="1">
        <v>45754</v>
      </c>
      <c r="B8">
        <v>18.079999999999998</v>
      </c>
      <c r="C8" s="1"/>
      <c r="D8">
        <v>104.97</v>
      </c>
      <c r="E8" s="1"/>
      <c r="F8">
        <v>310.86</v>
      </c>
      <c r="G8" s="3"/>
      <c r="H8">
        <v>42.28</v>
      </c>
      <c r="I8" s="3"/>
      <c r="J8">
        <v>72.930000000000007</v>
      </c>
      <c r="K8" s="1"/>
      <c r="L8">
        <v>490.38</v>
      </c>
      <c r="M8" s="1"/>
      <c r="N8">
        <v>86.57</v>
      </c>
      <c r="O8" s="1"/>
      <c r="P8">
        <v>273.70999999999998</v>
      </c>
      <c r="Q8" s="1"/>
      <c r="R8">
        <v>150.62</v>
      </c>
      <c r="S8" s="1"/>
      <c r="T8">
        <v>68.37</v>
      </c>
      <c r="U8" s="1"/>
      <c r="V8">
        <v>723.73</v>
      </c>
      <c r="W8" s="1"/>
      <c r="X8">
        <v>0.15</v>
      </c>
      <c r="Y8" s="1"/>
      <c r="Z8">
        <v>100.28</v>
      </c>
      <c r="AA8" s="1"/>
      <c r="AB8">
        <v>70.95</v>
      </c>
      <c r="AC8" s="1"/>
      <c r="AD8">
        <v>97.64</v>
      </c>
      <c r="AE8" s="1"/>
      <c r="AF8">
        <v>0.2</v>
      </c>
      <c r="AG8" s="1"/>
      <c r="AH8">
        <v>0.27</v>
      </c>
      <c r="AI8" s="1"/>
      <c r="AJ8">
        <v>77.84</v>
      </c>
      <c r="AK8" s="1"/>
      <c r="AL8">
        <v>20.51</v>
      </c>
      <c r="AM8" s="1"/>
      <c r="AN8">
        <v>463.56</v>
      </c>
      <c r="AO8" s="1"/>
      <c r="AP8">
        <v>98.738</v>
      </c>
      <c r="AQ8" s="1"/>
      <c r="AR8">
        <v>99.929000000000002</v>
      </c>
      <c r="AS8" s="1"/>
      <c r="AT8">
        <v>113.351</v>
      </c>
      <c r="AU8" s="1"/>
      <c r="AV8">
        <v>110.044</v>
      </c>
      <c r="AW8" s="1"/>
      <c r="AX8">
        <v>108.16800000000001</v>
      </c>
      <c r="AY8" s="1"/>
      <c r="AZ8">
        <v>114.14</v>
      </c>
      <c r="BA8" s="1"/>
      <c r="BB8">
        <v>169.2</v>
      </c>
    </row>
    <row r="9" spans="1:54" x14ac:dyDescent="0.35">
      <c r="A9" s="1">
        <v>45751</v>
      </c>
      <c r="B9">
        <v>18.73</v>
      </c>
      <c r="C9" s="1"/>
      <c r="D9">
        <v>106</v>
      </c>
      <c r="E9" s="1"/>
      <c r="F9">
        <v>319.25</v>
      </c>
      <c r="G9" s="3"/>
      <c r="H9">
        <v>41.94</v>
      </c>
      <c r="I9" s="3"/>
      <c r="J9">
        <v>73.819999999999993</v>
      </c>
      <c r="K9" s="1"/>
      <c r="L9">
        <v>493.54</v>
      </c>
      <c r="M9" s="1"/>
      <c r="N9">
        <v>89.09</v>
      </c>
      <c r="O9" s="1"/>
      <c r="P9">
        <v>279.72000000000003</v>
      </c>
      <c r="Q9" s="1"/>
      <c r="R9">
        <v>153.24</v>
      </c>
      <c r="S9" s="1"/>
      <c r="T9">
        <v>69.930000000000007</v>
      </c>
      <c r="U9" s="1"/>
      <c r="V9">
        <v>738.21</v>
      </c>
      <c r="W9" s="1"/>
      <c r="X9">
        <v>0.1</v>
      </c>
      <c r="Y9" s="1"/>
      <c r="Z9">
        <v>77.5</v>
      </c>
      <c r="AA9" s="1"/>
      <c r="AB9">
        <v>70.45</v>
      </c>
      <c r="AC9" s="1"/>
      <c r="AD9">
        <v>94.31</v>
      </c>
      <c r="AE9" s="1"/>
      <c r="AF9">
        <v>0.17</v>
      </c>
      <c r="AG9" s="1"/>
      <c r="AH9">
        <v>0.22</v>
      </c>
      <c r="AI9" s="1"/>
      <c r="AJ9">
        <v>74.010000000000005</v>
      </c>
      <c r="AK9" s="1"/>
      <c r="AL9">
        <v>20.82</v>
      </c>
      <c r="AM9" s="1"/>
      <c r="AN9">
        <v>465.52</v>
      </c>
      <c r="AO9" s="1"/>
      <c r="AP9">
        <v>99.933000000000007</v>
      </c>
      <c r="AQ9" s="1"/>
      <c r="AR9">
        <v>101.15600000000001</v>
      </c>
      <c r="AS9" s="1"/>
      <c r="AT9">
        <v>114.8</v>
      </c>
      <c r="AU9" s="1"/>
      <c r="AV9">
        <v>111.161</v>
      </c>
      <c r="AW9" s="1"/>
      <c r="AX9">
        <v>108.693</v>
      </c>
      <c r="AY9" s="1"/>
      <c r="AZ9">
        <v>106.6</v>
      </c>
      <c r="BA9" s="1"/>
      <c r="BB9">
        <v>124.08</v>
      </c>
    </row>
    <row r="10" spans="1:54" x14ac:dyDescent="0.35">
      <c r="A10" s="1">
        <v>45750</v>
      </c>
      <c r="B10">
        <v>19.37</v>
      </c>
      <c r="C10" s="1"/>
      <c r="D10">
        <v>112.91</v>
      </c>
      <c r="E10" s="1"/>
      <c r="F10">
        <v>344.4</v>
      </c>
      <c r="G10" s="3"/>
      <c r="H10">
        <v>45.12</v>
      </c>
      <c r="I10" s="3"/>
      <c r="J10">
        <v>73.760000000000005</v>
      </c>
      <c r="K10" s="1"/>
      <c r="L10">
        <v>530.16</v>
      </c>
      <c r="M10" s="1"/>
      <c r="N10">
        <v>92.68</v>
      </c>
      <c r="O10" s="1"/>
      <c r="P10">
        <v>286.42</v>
      </c>
      <c r="Q10" s="1"/>
      <c r="R10">
        <v>159.82</v>
      </c>
      <c r="S10" s="1"/>
      <c r="T10">
        <v>73.180000000000007</v>
      </c>
      <c r="U10" s="1"/>
      <c r="V10">
        <v>789.09</v>
      </c>
      <c r="W10" s="1"/>
      <c r="X10">
        <v>0.2</v>
      </c>
      <c r="Y10" s="1"/>
      <c r="Z10">
        <v>76.489999999999995</v>
      </c>
      <c r="AA10" s="1"/>
      <c r="AB10">
        <v>82.35</v>
      </c>
      <c r="AC10" s="1"/>
      <c r="AD10">
        <v>101.8</v>
      </c>
      <c r="AE10" s="1"/>
      <c r="AF10">
        <v>0.28000000000000003</v>
      </c>
      <c r="AG10" s="1"/>
      <c r="AH10">
        <v>0.35</v>
      </c>
      <c r="AI10" s="1"/>
      <c r="AJ10">
        <v>83.6</v>
      </c>
      <c r="AK10" s="1"/>
      <c r="AL10">
        <v>22.46</v>
      </c>
      <c r="AM10" s="1"/>
      <c r="AN10">
        <v>494.16</v>
      </c>
      <c r="AO10" s="1"/>
      <c r="AP10">
        <v>100.402</v>
      </c>
      <c r="AQ10" s="1"/>
      <c r="AR10">
        <v>101.705</v>
      </c>
      <c r="AS10" s="1"/>
      <c r="AT10">
        <v>115.229</v>
      </c>
      <c r="AU10" s="1"/>
      <c r="AV10">
        <v>111.51300000000001</v>
      </c>
      <c r="AW10" s="1"/>
      <c r="AX10">
        <v>109.51</v>
      </c>
      <c r="AY10" s="1"/>
      <c r="AZ10">
        <v>121.62</v>
      </c>
      <c r="BA10" s="1"/>
      <c r="BB10">
        <v>142.80000000000001</v>
      </c>
    </row>
    <row r="11" spans="1:54" x14ac:dyDescent="0.35">
      <c r="A11" s="1">
        <v>45749</v>
      </c>
      <c r="B11">
        <v>20.399999999999999</v>
      </c>
      <c r="C11" s="1"/>
      <c r="D11">
        <v>117.4</v>
      </c>
      <c r="E11" s="1"/>
      <c r="F11">
        <v>344.07</v>
      </c>
      <c r="G11" s="3"/>
      <c r="H11">
        <v>49.15</v>
      </c>
      <c r="I11" s="3"/>
      <c r="J11">
        <v>73.38</v>
      </c>
      <c r="K11" s="1"/>
      <c r="L11">
        <v>537.72</v>
      </c>
      <c r="M11" s="1"/>
      <c r="N11">
        <v>99.08</v>
      </c>
      <c r="O11" s="1"/>
      <c r="P11">
        <v>288.16000000000003</v>
      </c>
      <c r="Q11" s="1"/>
      <c r="R11">
        <v>155.36000000000001</v>
      </c>
      <c r="S11" s="1"/>
      <c r="T11">
        <v>71.33</v>
      </c>
      <c r="U11" s="1"/>
      <c r="V11">
        <v>818.22</v>
      </c>
      <c r="W11" s="1"/>
      <c r="X11">
        <v>0.45</v>
      </c>
      <c r="Y11" s="1"/>
      <c r="Z11">
        <v>76.3</v>
      </c>
      <c r="AA11" s="1"/>
      <c r="AB11">
        <v>77.5</v>
      </c>
      <c r="AC11" s="1"/>
      <c r="AD11">
        <v>110.42</v>
      </c>
      <c r="AE11" s="1"/>
      <c r="AF11">
        <v>0.24</v>
      </c>
      <c r="AG11" s="1"/>
      <c r="AH11">
        <v>1.08</v>
      </c>
      <c r="AI11" s="1"/>
      <c r="AJ11">
        <v>87.45</v>
      </c>
      <c r="AK11" s="1"/>
      <c r="AL11">
        <v>23.17</v>
      </c>
      <c r="AM11" s="1"/>
      <c r="AN11">
        <v>518.91</v>
      </c>
      <c r="AO11" s="1"/>
      <c r="AP11">
        <v>100.3</v>
      </c>
      <c r="AQ11" s="1"/>
      <c r="AR11">
        <v>101.88200000000001</v>
      </c>
      <c r="AS11" s="1"/>
      <c r="AT11">
        <v>114.956</v>
      </c>
      <c r="AU11" s="1"/>
      <c r="AV11">
        <v>111.355</v>
      </c>
      <c r="AW11" s="1"/>
      <c r="AX11">
        <v>109.642</v>
      </c>
      <c r="AY11" s="1"/>
      <c r="AZ11">
        <v>64.3</v>
      </c>
      <c r="BA11" s="1"/>
      <c r="BB11">
        <v>205.14</v>
      </c>
    </row>
    <row r="12" spans="1:54" x14ac:dyDescent="0.35">
      <c r="A12" s="1">
        <v>45748</v>
      </c>
      <c r="B12">
        <v>20.07</v>
      </c>
      <c r="C12" s="1"/>
      <c r="D12">
        <v>116.8</v>
      </c>
      <c r="E12" s="1"/>
      <c r="F12">
        <v>343.86</v>
      </c>
      <c r="G12" s="3"/>
      <c r="H12">
        <v>47.8</v>
      </c>
      <c r="I12" s="3"/>
      <c r="J12">
        <v>73.44</v>
      </c>
      <c r="K12" s="1"/>
      <c r="L12">
        <v>532.99</v>
      </c>
      <c r="M12" s="1"/>
      <c r="N12">
        <v>96.99</v>
      </c>
      <c r="O12" s="1"/>
      <c r="P12">
        <v>287.57</v>
      </c>
      <c r="Q12" s="1"/>
      <c r="R12">
        <v>153.25</v>
      </c>
      <c r="S12" s="1"/>
      <c r="T12">
        <v>71.87</v>
      </c>
      <c r="U12" s="1"/>
      <c r="V12">
        <v>805.23</v>
      </c>
      <c r="W12" s="1"/>
      <c r="X12">
        <v>1.24</v>
      </c>
      <c r="Y12" s="1"/>
      <c r="Z12">
        <v>71.56</v>
      </c>
      <c r="AA12" s="1"/>
      <c r="AB12">
        <v>120.6</v>
      </c>
      <c r="AC12" s="1"/>
      <c r="AD12">
        <v>110.15</v>
      </c>
      <c r="AE12" s="1"/>
      <c r="AF12">
        <v>0.28999999999999998</v>
      </c>
      <c r="AG12" s="1"/>
      <c r="AH12">
        <v>1.05</v>
      </c>
      <c r="AI12" s="1"/>
      <c r="AJ12">
        <v>84.68</v>
      </c>
      <c r="AK12" s="1"/>
      <c r="AL12">
        <v>23.08</v>
      </c>
      <c r="AM12" s="1"/>
      <c r="AN12">
        <v>515.79999999999995</v>
      </c>
      <c r="AO12" s="1"/>
      <c r="AP12">
        <v>99.554000000000002</v>
      </c>
      <c r="AQ12" s="1"/>
      <c r="AR12">
        <v>101.32299999999999</v>
      </c>
      <c r="AS12" s="1"/>
      <c r="AT12">
        <v>114.869</v>
      </c>
      <c r="AU12" s="1"/>
      <c r="AV12">
        <v>110.98399999999999</v>
      </c>
      <c r="AW12" s="1"/>
      <c r="AX12">
        <v>109.261</v>
      </c>
      <c r="AY12" s="1"/>
      <c r="AZ12">
        <v>60.6</v>
      </c>
      <c r="BA12" s="1"/>
      <c r="BB12">
        <v>181.18</v>
      </c>
    </row>
    <row r="13" spans="1:54" x14ac:dyDescent="0.35">
      <c r="A13" s="1">
        <v>45747</v>
      </c>
      <c r="B13">
        <v>20.14</v>
      </c>
      <c r="C13" s="1"/>
      <c r="D13">
        <v>116.39</v>
      </c>
      <c r="E13" s="1"/>
      <c r="F13">
        <v>345.24</v>
      </c>
      <c r="G13" s="3"/>
      <c r="H13">
        <v>47.58</v>
      </c>
      <c r="I13" s="3"/>
      <c r="J13">
        <v>73.45</v>
      </c>
      <c r="K13" s="1"/>
      <c r="L13">
        <v>532.58000000000004</v>
      </c>
      <c r="M13" s="1"/>
      <c r="N13">
        <v>97.82</v>
      </c>
      <c r="O13" s="1"/>
      <c r="P13">
        <v>288.14</v>
      </c>
      <c r="Q13" s="1"/>
      <c r="R13">
        <v>165.84</v>
      </c>
      <c r="S13" s="1"/>
      <c r="T13">
        <v>71.62</v>
      </c>
      <c r="U13" s="1"/>
      <c r="V13">
        <v>825.91</v>
      </c>
      <c r="W13" s="1"/>
      <c r="X13">
        <v>2</v>
      </c>
      <c r="Y13" s="1"/>
      <c r="Z13">
        <v>46.5</v>
      </c>
      <c r="AA13" s="1"/>
      <c r="AB13">
        <v>106.95</v>
      </c>
      <c r="AC13" s="1"/>
      <c r="AD13">
        <v>108.38</v>
      </c>
      <c r="AE13" s="1"/>
      <c r="AF13">
        <v>0.44</v>
      </c>
      <c r="AG13" s="1"/>
      <c r="AH13">
        <v>1.05</v>
      </c>
      <c r="AI13" s="1"/>
      <c r="AJ13">
        <v>84.4</v>
      </c>
      <c r="AK13" s="1"/>
      <c r="AL13">
        <v>22.92</v>
      </c>
      <c r="AM13" s="1"/>
      <c r="AN13">
        <v>513.91</v>
      </c>
      <c r="AO13" s="1"/>
      <c r="AP13">
        <v>99.367000000000004</v>
      </c>
      <c r="AQ13" s="1"/>
      <c r="AR13">
        <v>100.947</v>
      </c>
      <c r="AS13" s="1"/>
      <c r="AT13">
        <v>114.625</v>
      </c>
      <c r="AU13" s="1"/>
      <c r="AV13">
        <v>110.566</v>
      </c>
      <c r="AW13" s="1"/>
      <c r="AX13">
        <v>109.041</v>
      </c>
      <c r="AY13" s="1"/>
      <c r="AZ13">
        <v>44.7</v>
      </c>
      <c r="BA13" s="1"/>
      <c r="BB13">
        <v>311.69</v>
      </c>
    </row>
    <row r="14" spans="1:54" x14ac:dyDescent="0.35">
      <c r="A14" s="1">
        <v>45744</v>
      </c>
      <c r="B14">
        <v>20.04</v>
      </c>
      <c r="C14" s="1"/>
      <c r="D14">
        <v>116.24</v>
      </c>
      <c r="E14" s="1"/>
      <c r="F14">
        <v>340.76</v>
      </c>
      <c r="G14" s="3"/>
      <c r="H14">
        <v>48.7</v>
      </c>
      <c r="I14" s="3"/>
      <c r="J14">
        <v>73.319999999999993</v>
      </c>
      <c r="K14" s="1"/>
      <c r="L14">
        <v>526.30999999999995</v>
      </c>
      <c r="M14" s="1"/>
      <c r="N14">
        <v>96.93</v>
      </c>
      <c r="O14" s="1"/>
      <c r="P14">
        <v>284.06</v>
      </c>
      <c r="Q14" s="1"/>
      <c r="R14">
        <v>163.71</v>
      </c>
      <c r="S14" s="1"/>
      <c r="T14">
        <v>70.37</v>
      </c>
      <c r="U14" s="1"/>
      <c r="V14">
        <v>822.51</v>
      </c>
      <c r="W14" s="1"/>
      <c r="X14">
        <v>1.41</v>
      </c>
      <c r="Y14" s="1"/>
      <c r="Z14">
        <v>56.33</v>
      </c>
      <c r="AA14" s="1"/>
      <c r="AB14">
        <v>89.5</v>
      </c>
      <c r="AC14" s="1"/>
      <c r="AD14">
        <v>109.67</v>
      </c>
      <c r="AE14" s="1"/>
      <c r="AF14">
        <v>0.35</v>
      </c>
      <c r="AG14" s="1"/>
      <c r="AH14">
        <v>1.31</v>
      </c>
      <c r="AI14" s="1"/>
      <c r="AJ14">
        <v>85.85</v>
      </c>
      <c r="AK14" s="1"/>
      <c r="AL14">
        <v>23.1</v>
      </c>
      <c r="AM14" s="1"/>
      <c r="AN14">
        <v>510.8</v>
      </c>
      <c r="AO14" s="1"/>
      <c r="AP14">
        <v>99.245999999999995</v>
      </c>
      <c r="AQ14" s="1"/>
      <c r="AR14">
        <v>100.901</v>
      </c>
      <c r="AS14" s="1"/>
      <c r="AT14">
        <v>114.366</v>
      </c>
      <c r="AU14" s="1"/>
      <c r="AV14">
        <v>110.434</v>
      </c>
      <c r="AW14" s="1"/>
      <c r="AX14">
        <v>108.75</v>
      </c>
      <c r="AY14" s="1"/>
      <c r="AZ14">
        <v>48.2</v>
      </c>
      <c r="BA14" s="1"/>
      <c r="BB14">
        <v>269.5</v>
      </c>
    </row>
    <row r="15" spans="1:54" x14ac:dyDescent="0.35">
      <c r="A15" s="1">
        <v>45743</v>
      </c>
      <c r="B15">
        <v>20.25</v>
      </c>
      <c r="C15" s="1"/>
      <c r="D15">
        <v>118.28</v>
      </c>
      <c r="E15" s="1"/>
      <c r="F15">
        <v>341</v>
      </c>
      <c r="G15" s="3"/>
      <c r="H15">
        <v>50.78</v>
      </c>
      <c r="I15" s="3"/>
      <c r="J15">
        <v>72.900000000000006</v>
      </c>
      <c r="K15" s="1"/>
      <c r="L15">
        <v>534.52</v>
      </c>
      <c r="M15" s="1"/>
      <c r="N15">
        <v>96.78</v>
      </c>
      <c r="O15" s="1"/>
      <c r="P15">
        <v>281.97000000000003</v>
      </c>
      <c r="Q15" s="1"/>
      <c r="R15">
        <v>163.13</v>
      </c>
      <c r="S15" s="1"/>
      <c r="T15">
        <v>70.739999999999995</v>
      </c>
      <c r="U15" s="1"/>
      <c r="V15">
        <v>821.67</v>
      </c>
      <c r="W15" s="1"/>
      <c r="X15">
        <v>2.56</v>
      </c>
      <c r="Y15" s="1"/>
      <c r="Z15">
        <v>57.25</v>
      </c>
      <c r="AA15" s="1"/>
      <c r="AB15">
        <v>63.5</v>
      </c>
      <c r="AC15" s="1"/>
      <c r="AD15">
        <v>111.43</v>
      </c>
      <c r="AE15" s="1"/>
      <c r="AF15">
        <v>0.68</v>
      </c>
      <c r="AG15" s="1"/>
      <c r="AH15">
        <v>1.71</v>
      </c>
      <c r="AI15" s="1"/>
      <c r="AJ15">
        <v>90.09</v>
      </c>
      <c r="AK15" s="1"/>
      <c r="AL15">
        <v>23.64</v>
      </c>
      <c r="AM15" s="1"/>
      <c r="AN15">
        <v>521.21</v>
      </c>
      <c r="AO15" s="1"/>
      <c r="AP15">
        <v>98.492999999999995</v>
      </c>
      <c r="AQ15" s="1"/>
      <c r="AR15">
        <v>100.398</v>
      </c>
      <c r="AS15" s="1"/>
      <c r="AT15">
        <v>114.19</v>
      </c>
      <c r="AU15" s="1"/>
      <c r="AV15">
        <v>109.77200000000001</v>
      </c>
      <c r="AW15" s="1"/>
      <c r="AX15">
        <v>107.619</v>
      </c>
      <c r="AY15" s="1"/>
      <c r="AZ15">
        <v>83.5</v>
      </c>
      <c r="BA15" s="1"/>
      <c r="BB15">
        <v>310.72000000000003</v>
      </c>
    </row>
    <row r="16" spans="1:54" x14ac:dyDescent="0.35">
      <c r="A16" s="1">
        <v>45742</v>
      </c>
      <c r="B16">
        <v>20.32</v>
      </c>
      <c r="C16" s="1"/>
      <c r="D16">
        <v>118.45</v>
      </c>
      <c r="E16" s="1"/>
      <c r="F16">
        <v>336.73</v>
      </c>
      <c r="G16" s="3"/>
      <c r="H16">
        <v>51.66</v>
      </c>
      <c r="I16" s="3"/>
      <c r="J16">
        <v>72.930000000000007</v>
      </c>
      <c r="K16" s="1"/>
      <c r="L16">
        <v>533.21</v>
      </c>
      <c r="M16" s="1"/>
      <c r="N16">
        <v>97.51</v>
      </c>
      <c r="O16" s="1"/>
      <c r="P16">
        <v>278.24</v>
      </c>
      <c r="Q16" s="1"/>
      <c r="R16">
        <v>161.72</v>
      </c>
      <c r="S16" s="1"/>
      <c r="T16">
        <v>70.02</v>
      </c>
      <c r="U16" s="1"/>
      <c r="V16">
        <v>826.76</v>
      </c>
      <c r="W16" s="1"/>
      <c r="X16">
        <v>1.75</v>
      </c>
      <c r="Y16" s="1"/>
      <c r="Z16">
        <v>53.68</v>
      </c>
      <c r="AA16" s="1"/>
      <c r="AB16">
        <v>40.08</v>
      </c>
      <c r="AC16" s="1"/>
      <c r="AD16">
        <v>113.76</v>
      </c>
      <c r="AE16" s="1"/>
      <c r="AF16">
        <v>0.82</v>
      </c>
      <c r="AG16" s="1"/>
      <c r="AH16">
        <v>2.5</v>
      </c>
      <c r="AI16" s="1"/>
      <c r="AJ16">
        <v>92.28</v>
      </c>
      <c r="AK16" s="1"/>
      <c r="AL16">
        <v>24.29</v>
      </c>
      <c r="AM16" s="1"/>
      <c r="AN16">
        <v>524.46</v>
      </c>
      <c r="AO16" s="1"/>
      <c r="AP16">
        <v>98.626999999999995</v>
      </c>
      <c r="AQ16" s="1"/>
      <c r="AR16">
        <v>100.42100000000001</v>
      </c>
      <c r="AS16" s="1"/>
      <c r="AT16">
        <v>114.01300000000001</v>
      </c>
      <c r="AU16" s="1"/>
      <c r="AV16">
        <v>110.033</v>
      </c>
      <c r="AW16" s="1"/>
      <c r="AX16">
        <v>108.124</v>
      </c>
      <c r="AY16" s="1"/>
      <c r="AZ16">
        <v>87.15</v>
      </c>
      <c r="BA16" s="1"/>
      <c r="BB16">
        <v>281.87</v>
      </c>
    </row>
    <row r="17" spans="1:54" x14ac:dyDescent="0.35">
      <c r="A17" s="1">
        <v>45741</v>
      </c>
      <c r="B17">
        <v>20.260000000000002</v>
      </c>
      <c r="C17" s="1"/>
      <c r="D17">
        <v>119.77</v>
      </c>
      <c r="E17" s="1"/>
      <c r="F17">
        <v>337.36</v>
      </c>
      <c r="G17" s="3"/>
      <c r="H17">
        <v>54.14</v>
      </c>
      <c r="I17" s="3"/>
      <c r="J17">
        <v>73.09</v>
      </c>
      <c r="K17" s="1"/>
      <c r="L17">
        <v>528.87</v>
      </c>
      <c r="M17" s="1"/>
      <c r="N17">
        <v>97.73</v>
      </c>
      <c r="O17" s="1"/>
      <c r="P17">
        <v>278.47000000000003</v>
      </c>
      <c r="Q17" s="1"/>
      <c r="R17">
        <v>161.02000000000001</v>
      </c>
      <c r="S17" s="1"/>
      <c r="T17">
        <v>68.81</v>
      </c>
      <c r="U17" s="1"/>
      <c r="V17">
        <v>852.35</v>
      </c>
      <c r="W17" s="1"/>
      <c r="X17">
        <v>1.85</v>
      </c>
      <c r="Y17" s="1"/>
      <c r="Z17">
        <v>75.72</v>
      </c>
      <c r="AA17" s="1"/>
      <c r="AB17">
        <v>31.1</v>
      </c>
      <c r="AC17" s="1"/>
      <c r="AD17">
        <v>120.69</v>
      </c>
      <c r="AE17" s="1"/>
      <c r="AF17">
        <v>0.69</v>
      </c>
      <c r="AG17" s="1"/>
      <c r="AH17">
        <v>5.4</v>
      </c>
      <c r="AI17" s="1"/>
      <c r="AJ17">
        <v>96.5</v>
      </c>
      <c r="AK17" s="1"/>
      <c r="AL17">
        <v>24.87</v>
      </c>
      <c r="AM17" s="1"/>
      <c r="AN17">
        <v>530.65</v>
      </c>
      <c r="AO17" s="1"/>
      <c r="AP17">
        <v>98.91</v>
      </c>
      <c r="AQ17" s="1"/>
      <c r="AR17">
        <v>100.71299999999999</v>
      </c>
      <c r="AS17" s="1"/>
      <c r="AT17">
        <v>114.38</v>
      </c>
      <c r="AU17" s="1"/>
      <c r="AV17">
        <v>110.348</v>
      </c>
      <c r="AW17" s="1"/>
      <c r="AX17">
        <v>108.068</v>
      </c>
      <c r="AY17" s="1"/>
      <c r="AZ17">
        <v>97.9</v>
      </c>
      <c r="BA17" s="1"/>
      <c r="BB17">
        <v>193.8</v>
      </c>
    </row>
    <row r="18" spans="1:54" x14ac:dyDescent="0.35">
      <c r="A18" s="1">
        <v>45740</v>
      </c>
      <c r="B18">
        <v>20.53</v>
      </c>
      <c r="C18" s="1"/>
      <c r="D18">
        <v>119.71</v>
      </c>
      <c r="E18" s="1"/>
      <c r="F18">
        <v>337.67</v>
      </c>
      <c r="G18" s="3"/>
      <c r="H18">
        <v>54.18</v>
      </c>
      <c r="I18" s="3"/>
      <c r="J18">
        <v>73</v>
      </c>
      <c r="K18" s="1"/>
      <c r="L18">
        <v>525.85</v>
      </c>
      <c r="M18" s="1"/>
      <c r="N18">
        <v>98.26</v>
      </c>
      <c r="O18" s="1"/>
      <c r="P18">
        <v>277.25</v>
      </c>
      <c r="Q18" s="1"/>
      <c r="R18">
        <v>163.29</v>
      </c>
      <c r="S18" s="1"/>
      <c r="T18">
        <v>68.95</v>
      </c>
      <c r="U18" s="1"/>
      <c r="V18">
        <v>864.9</v>
      </c>
      <c r="W18" s="1"/>
      <c r="X18">
        <v>3.05</v>
      </c>
      <c r="Y18" s="1"/>
      <c r="Z18">
        <v>67.91</v>
      </c>
      <c r="AA18" s="1"/>
      <c r="AB18">
        <v>41.58</v>
      </c>
      <c r="AC18" s="1"/>
      <c r="AD18">
        <v>121.41</v>
      </c>
      <c r="AE18" s="1"/>
      <c r="AF18">
        <v>2.0299999999999998</v>
      </c>
      <c r="AG18" s="1"/>
      <c r="AH18">
        <v>5.87</v>
      </c>
      <c r="AI18" s="1"/>
      <c r="AJ18">
        <v>96.75</v>
      </c>
      <c r="AK18" s="1"/>
      <c r="AL18">
        <v>25.39</v>
      </c>
      <c r="AM18" s="1"/>
      <c r="AN18">
        <v>529.39</v>
      </c>
      <c r="AO18" s="1"/>
      <c r="AP18">
        <v>98.757999999999996</v>
      </c>
      <c r="AQ18" s="1"/>
      <c r="AR18">
        <v>100.47499999999999</v>
      </c>
      <c r="AS18" s="1"/>
      <c r="AT18">
        <v>114.096</v>
      </c>
      <c r="AU18" s="1"/>
      <c r="AV18">
        <v>110.149</v>
      </c>
      <c r="AW18" s="1"/>
      <c r="AX18">
        <v>108.568</v>
      </c>
      <c r="AY18" s="1"/>
      <c r="AZ18">
        <v>114.6</v>
      </c>
      <c r="BA18" s="1"/>
      <c r="BB18">
        <v>138</v>
      </c>
    </row>
    <row r="19" spans="1:54" x14ac:dyDescent="0.35">
      <c r="A19" s="1">
        <v>45737</v>
      </c>
      <c r="B19">
        <v>20.25</v>
      </c>
      <c r="C19" s="1"/>
      <c r="D19">
        <v>117.98</v>
      </c>
      <c r="E19" s="1"/>
      <c r="F19">
        <v>331.79</v>
      </c>
      <c r="G19" s="3"/>
      <c r="H19">
        <v>51.5</v>
      </c>
      <c r="I19" s="3"/>
      <c r="J19">
        <v>73.319999999999993</v>
      </c>
      <c r="K19" s="1"/>
      <c r="L19">
        <v>521.91</v>
      </c>
      <c r="M19" s="1"/>
      <c r="N19">
        <v>95.1</v>
      </c>
      <c r="O19" s="1"/>
      <c r="P19">
        <v>278.49</v>
      </c>
      <c r="Q19" s="1"/>
      <c r="R19">
        <v>163.63</v>
      </c>
      <c r="S19" s="1"/>
      <c r="T19">
        <v>68.67</v>
      </c>
      <c r="U19" s="1"/>
      <c r="V19">
        <v>837.57</v>
      </c>
      <c r="W19" s="1"/>
      <c r="X19">
        <v>2.2999999999999998</v>
      </c>
      <c r="Y19" s="1"/>
      <c r="Z19">
        <v>92.6</v>
      </c>
      <c r="AA19" s="1"/>
      <c r="AB19">
        <v>34.35</v>
      </c>
      <c r="AC19" s="1"/>
      <c r="AD19">
        <v>117.7</v>
      </c>
      <c r="AE19" s="1"/>
      <c r="AF19">
        <v>1.36</v>
      </c>
      <c r="AG19" s="1"/>
      <c r="AH19">
        <v>4.5</v>
      </c>
      <c r="AI19" s="1"/>
      <c r="AJ19">
        <v>90.96</v>
      </c>
      <c r="AK19" s="1"/>
      <c r="AL19">
        <v>25</v>
      </c>
      <c r="AM19" s="1"/>
      <c r="AN19">
        <v>520.26</v>
      </c>
      <c r="AO19" s="1"/>
      <c r="AP19">
        <v>99.477999999999994</v>
      </c>
      <c r="AQ19" s="1"/>
      <c r="AR19">
        <v>100.955</v>
      </c>
      <c r="AS19" s="1"/>
      <c r="AT19">
        <v>114.559</v>
      </c>
      <c r="AU19" s="1"/>
      <c r="AV19">
        <v>110.79600000000001</v>
      </c>
      <c r="AW19" s="1"/>
      <c r="AX19">
        <v>109.113</v>
      </c>
      <c r="AY19" s="1"/>
      <c r="AZ19">
        <v>86.16</v>
      </c>
      <c r="BA19" s="1"/>
      <c r="BB19">
        <v>187.76</v>
      </c>
    </row>
    <row r="20" spans="1:54" x14ac:dyDescent="0.35">
      <c r="A20" s="1">
        <v>45736</v>
      </c>
      <c r="B20">
        <v>20.51</v>
      </c>
      <c r="C20" s="1"/>
      <c r="D20">
        <v>118.23</v>
      </c>
      <c r="E20" s="1"/>
      <c r="F20">
        <v>334.44</v>
      </c>
      <c r="G20" s="3"/>
      <c r="H20">
        <v>50.02</v>
      </c>
      <c r="I20" s="3"/>
      <c r="J20">
        <v>73.38</v>
      </c>
      <c r="K20" s="1"/>
      <c r="L20">
        <v>528.73</v>
      </c>
      <c r="M20" s="1"/>
      <c r="N20">
        <v>97.32</v>
      </c>
      <c r="O20" s="1"/>
      <c r="P20">
        <v>280.75</v>
      </c>
      <c r="Q20" s="1"/>
      <c r="R20">
        <v>163.02000000000001</v>
      </c>
      <c r="S20" s="1"/>
      <c r="T20">
        <v>69.709999999999994</v>
      </c>
      <c r="U20" s="1"/>
      <c r="V20">
        <v>842.57</v>
      </c>
      <c r="W20" s="1"/>
      <c r="X20">
        <v>1.54</v>
      </c>
      <c r="Y20" s="1"/>
      <c r="Z20">
        <v>72.650000000000006</v>
      </c>
      <c r="AA20" s="1"/>
      <c r="AB20">
        <v>37</v>
      </c>
      <c r="AC20" s="1"/>
      <c r="AD20">
        <v>118.53</v>
      </c>
      <c r="AE20" s="1"/>
      <c r="AF20">
        <v>5.5</v>
      </c>
      <c r="AG20" s="1"/>
      <c r="AH20">
        <v>5.3</v>
      </c>
      <c r="AI20" s="1"/>
      <c r="AJ20">
        <v>87.39</v>
      </c>
      <c r="AK20" s="1"/>
      <c r="AL20">
        <v>25.38</v>
      </c>
      <c r="AM20" s="1"/>
      <c r="AN20">
        <v>520.13</v>
      </c>
      <c r="AO20" s="1"/>
      <c r="AP20">
        <v>99.721999999999994</v>
      </c>
      <c r="AQ20" s="1"/>
      <c r="AR20">
        <v>101.149</v>
      </c>
      <c r="AS20" s="1"/>
      <c r="AT20">
        <v>114.289</v>
      </c>
      <c r="AU20" s="1"/>
      <c r="AV20">
        <v>110.902</v>
      </c>
      <c r="AW20" s="1"/>
      <c r="AX20">
        <v>109.41200000000001</v>
      </c>
      <c r="AY20" s="1"/>
      <c r="AZ20">
        <v>118.09</v>
      </c>
      <c r="BA20" s="1"/>
      <c r="BB20">
        <v>86.8</v>
      </c>
    </row>
    <row r="21" spans="1:54" x14ac:dyDescent="0.35">
      <c r="A21" s="1">
        <v>45735</v>
      </c>
      <c r="B21">
        <v>20.71</v>
      </c>
      <c r="C21" s="1"/>
      <c r="D21">
        <v>118.73</v>
      </c>
      <c r="E21" s="1"/>
      <c r="F21">
        <v>326.64</v>
      </c>
      <c r="G21" s="3"/>
      <c r="H21">
        <v>50.05</v>
      </c>
      <c r="I21" s="3"/>
      <c r="J21">
        <v>73.349999999999994</v>
      </c>
      <c r="K21" s="1"/>
      <c r="L21">
        <v>525.27</v>
      </c>
      <c r="M21" s="1"/>
      <c r="N21">
        <v>97.53</v>
      </c>
      <c r="O21" s="1"/>
      <c r="P21">
        <v>281.11</v>
      </c>
      <c r="Q21" s="1"/>
      <c r="R21">
        <v>162.99</v>
      </c>
      <c r="S21" s="1"/>
      <c r="T21">
        <v>69.28</v>
      </c>
      <c r="U21" s="1"/>
      <c r="V21">
        <v>837.01</v>
      </c>
      <c r="W21" s="1"/>
      <c r="X21">
        <v>1.17</v>
      </c>
      <c r="Y21" s="1"/>
      <c r="Z21">
        <v>82.37</v>
      </c>
      <c r="AA21" s="1"/>
      <c r="AB21">
        <v>38.549999999999997</v>
      </c>
      <c r="AC21" s="1"/>
      <c r="AD21">
        <v>117.52</v>
      </c>
      <c r="AE21" s="1"/>
      <c r="AF21">
        <v>4.5999999999999996</v>
      </c>
      <c r="AG21" s="1"/>
      <c r="AH21">
        <v>5.23</v>
      </c>
      <c r="AI21" s="1"/>
      <c r="AJ21">
        <v>86.1</v>
      </c>
      <c r="AK21" s="1"/>
      <c r="AL21">
        <v>25.19</v>
      </c>
      <c r="AM21" s="1"/>
      <c r="AN21">
        <v>521.33000000000004</v>
      </c>
      <c r="AO21" s="1"/>
      <c r="AP21">
        <v>99.578000000000003</v>
      </c>
      <c r="AQ21" s="1"/>
      <c r="AR21">
        <v>101.319</v>
      </c>
      <c r="AS21" s="1"/>
      <c r="AT21">
        <v>114.31</v>
      </c>
      <c r="AU21" s="1"/>
      <c r="AV21">
        <v>110.863</v>
      </c>
      <c r="AW21" s="1"/>
      <c r="AX21">
        <v>109.018</v>
      </c>
      <c r="AY21" s="1"/>
      <c r="AZ21">
        <v>184</v>
      </c>
      <c r="BA21" s="1"/>
      <c r="BB21">
        <v>128.78</v>
      </c>
    </row>
    <row r="22" spans="1:54" x14ac:dyDescent="0.35">
      <c r="A22" s="1">
        <v>45734</v>
      </c>
      <c r="B22">
        <v>20.25</v>
      </c>
      <c r="C22" s="1"/>
      <c r="D22">
        <v>117.77</v>
      </c>
      <c r="E22" s="1"/>
      <c r="F22">
        <v>329.66</v>
      </c>
      <c r="G22" s="3"/>
      <c r="H22">
        <v>48.24</v>
      </c>
      <c r="I22" s="3"/>
      <c r="J22">
        <v>73.13</v>
      </c>
      <c r="K22" s="1"/>
      <c r="L22">
        <v>523.14</v>
      </c>
      <c r="M22" s="1"/>
      <c r="N22">
        <v>97.28</v>
      </c>
      <c r="O22" s="1"/>
      <c r="P22">
        <v>279.95999999999998</v>
      </c>
      <c r="Q22" s="1"/>
      <c r="R22">
        <v>164.25</v>
      </c>
      <c r="S22" s="1"/>
      <c r="T22">
        <v>69.38</v>
      </c>
      <c r="U22" s="1"/>
      <c r="V22">
        <v>822.51</v>
      </c>
      <c r="W22" s="1"/>
      <c r="X22">
        <v>0.75</v>
      </c>
      <c r="Y22" s="1"/>
      <c r="Z22">
        <v>70.28</v>
      </c>
      <c r="AA22" s="1"/>
      <c r="AB22">
        <v>41.55</v>
      </c>
      <c r="AC22" s="1"/>
      <c r="AD22">
        <v>115.43</v>
      </c>
      <c r="AE22" s="1"/>
      <c r="AF22">
        <v>5.72</v>
      </c>
      <c r="AG22" s="1"/>
      <c r="AH22">
        <v>4.8</v>
      </c>
      <c r="AI22" s="1"/>
      <c r="AJ22">
        <v>83.89</v>
      </c>
      <c r="AK22" s="1"/>
      <c r="AL22">
        <v>24.45</v>
      </c>
      <c r="AM22" s="1"/>
      <c r="AN22">
        <v>515.91</v>
      </c>
      <c r="AO22" s="1"/>
      <c r="AP22">
        <v>99.1</v>
      </c>
      <c r="AQ22" s="1"/>
      <c r="AR22">
        <v>100.776</v>
      </c>
      <c r="AS22" s="1"/>
      <c r="AT22">
        <v>113.756</v>
      </c>
      <c r="AU22" s="1"/>
      <c r="AV22">
        <v>110.292</v>
      </c>
      <c r="AW22" s="1"/>
      <c r="AX22">
        <v>109.104</v>
      </c>
      <c r="AY22" s="1"/>
      <c r="AZ22">
        <v>148.80000000000001</v>
      </c>
      <c r="BA22" s="1"/>
      <c r="BB22">
        <v>102.36</v>
      </c>
    </row>
    <row r="23" spans="1:54" x14ac:dyDescent="0.35">
      <c r="A23" s="1">
        <v>45733</v>
      </c>
      <c r="B23">
        <v>20.37</v>
      </c>
      <c r="C23" s="1"/>
      <c r="D23">
        <v>118.62</v>
      </c>
      <c r="E23" s="1"/>
      <c r="F23">
        <v>329.14</v>
      </c>
      <c r="G23" s="3"/>
      <c r="H23">
        <v>49.98</v>
      </c>
      <c r="I23" s="3"/>
      <c r="J23">
        <v>73.05</v>
      </c>
      <c r="K23" s="1"/>
      <c r="L23">
        <v>523.01</v>
      </c>
      <c r="M23" s="1"/>
      <c r="N23">
        <v>97.91</v>
      </c>
      <c r="O23" s="1"/>
      <c r="P23">
        <v>276.73</v>
      </c>
      <c r="Q23" s="1"/>
      <c r="R23">
        <v>162.84</v>
      </c>
      <c r="S23" s="1"/>
      <c r="T23">
        <v>70.12</v>
      </c>
      <c r="U23" s="1"/>
      <c r="V23">
        <v>824.76</v>
      </c>
      <c r="W23" s="1"/>
      <c r="X23">
        <v>1.29</v>
      </c>
      <c r="Y23" s="1"/>
      <c r="Z23">
        <v>43.85</v>
      </c>
      <c r="AA23" s="1"/>
      <c r="AB23">
        <v>47.25</v>
      </c>
      <c r="AC23" s="1"/>
      <c r="AD23">
        <v>119.53</v>
      </c>
      <c r="AE23" s="1"/>
      <c r="AF23">
        <v>6.7</v>
      </c>
      <c r="AG23" s="1"/>
      <c r="AH23">
        <v>7</v>
      </c>
      <c r="AI23" s="1"/>
      <c r="AJ23">
        <v>87.35</v>
      </c>
      <c r="AK23" s="1"/>
      <c r="AL23">
        <v>24.64</v>
      </c>
      <c r="AM23" s="1"/>
      <c r="AN23">
        <v>521.41</v>
      </c>
      <c r="AO23" s="1"/>
      <c r="AP23">
        <v>98.909000000000006</v>
      </c>
      <c r="AQ23" s="1"/>
      <c r="AR23">
        <v>100.726</v>
      </c>
      <c r="AS23" s="1"/>
      <c r="AT23">
        <v>113.71599999999999</v>
      </c>
      <c r="AU23" s="1"/>
      <c r="AV23">
        <v>110.13800000000001</v>
      </c>
      <c r="AW23" s="1"/>
      <c r="AX23">
        <v>109.062</v>
      </c>
      <c r="AY23" s="1"/>
      <c r="AZ23">
        <v>161</v>
      </c>
      <c r="BA23" s="1"/>
      <c r="BB23">
        <v>96.82</v>
      </c>
    </row>
    <row r="24" spans="1:54" x14ac:dyDescent="0.35">
      <c r="A24" s="1">
        <v>45730</v>
      </c>
      <c r="B24">
        <v>20.13</v>
      </c>
      <c r="C24" s="1"/>
      <c r="D24">
        <v>117.45</v>
      </c>
      <c r="E24" s="1"/>
      <c r="F24">
        <v>325.24</v>
      </c>
      <c r="G24" s="3"/>
      <c r="H24">
        <v>49.19</v>
      </c>
      <c r="I24" s="3"/>
      <c r="J24">
        <v>72.95</v>
      </c>
      <c r="K24" s="1"/>
      <c r="L24">
        <v>514.6</v>
      </c>
      <c r="M24" s="1"/>
      <c r="N24">
        <v>96.16</v>
      </c>
      <c r="O24" s="1"/>
      <c r="P24">
        <v>275.24</v>
      </c>
      <c r="Q24" s="1"/>
      <c r="R24">
        <v>162.81</v>
      </c>
      <c r="S24" s="1"/>
      <c r="T24">
        <v>69.16</v>
      </c>
      <c r="U24" s="1"/>
      <c r="V24">
        <v>813.48</v>
      </c>
      <c r="W24" s="1"/>
      <c r="X24">
        <v>0.7</v>
      </c>
      <c r="Y24" s="1"/>
      <c r="Z24">
        <v>27</v>
      </c>
      <c r="AA24" s="1"/>
      <c r="AB24">
        <v>51.15</v>
      </c>
      <c r="AC24" s="1"/>
      <c r="AD24">
        <v>121.67</v>
      </c>
      <c r="AE24" s="1"/>
      <c r="AF24">
        <v>9.2100000000000009</v>
      </c>
      <c r="AG24" s="1"/>
      <c r="AH24">
        <v>8.5</v>
      </c>
      <c r="AI24" s="1"/>
      <c r="AJ24">
        <v>86.24</v>
      </c>
      <c r="AK24" s="1"/>
      <c r="AL24">
        <v>23.9</v>
      </c>
      <c r="AM24" s="1"/>
      <c r="AN24">
        <v>517.46</v>
      </c>
      <c r="AO24" s="1"/>
      <c r="AP24">
        <v>98.625</v>
      </c>
      <c r="AQ24" s="1"/>
      <c r="AR24">
        <v>100.488</v>
      </c>
      <c r="AS24" s="1"/>
      <c r="AT24">
        <v>114.054</v>
      </c>
      <c r="AU24" s="1"/>
      <c r="AV24">
        <v>110.081</v>
      </c>
      <c r="AW24" s="1"/>
      <c r="AX24">
        <v>109.239</v>
      </c>
      <c r="AY24" s="1"/>
      <c r="AZ24">
        <v>161</v>
      </c>
      <c r="BA24" s="1"/>
      <c r="BB24">
        <v>100.72</v>
      </c>
    </row>
    <row r="25" spans="1:54" x14ac:dyDescent="0.35">
      <c r="A25" s="1">
        <v>45729</v>
      </c>
      <c r="B25">
        <v>19.649999999999999</v>
      </c>
      <c r="C25" s="1"/>
      <c r="D25">
        <v>115.16</v>
      </c>
      <c r="E25" s="1"/>
      <c r="F25">
        <v>322.85000000000002</v>
      </c>
      <c r="G25" s="3"/>
      <c r="H25">
        <v>47.25</v>
      </c>
      <c r="I25" s="3"/>
      <c r="J25">
        <v>73.13</v>
      </c>
      <c r="K25" s="1"/>
      <c r="L25">
        <v>504.25</v>
      </c>
      <c r="M25" s="1"/>
      <c r="N25">
        <v>94.7</v>
      </c>
      <c r="O25" s="1"/>
      <c r="P25">
        <v>275.13</v>
      </c>
      <c r="Q25" s="1"/>
      <c r="R25">
        <v>162.99</v>
      </c>
      <c r="S25" s="1"/>
      <c r="T25">
        <v>69.62</v>
      </c>
      <c r="U25" s="1"/>
      <c r="V25">
        <v>801.65</v>
      </c>
      <c r="W25" s="1"/>
      <c r="X25">
        <v>0.97</v>
      </c>
      <c r="Y25" s="1"/>
      <c r="Z25">
        <v>25.17</v>
      </c>
      <c r="AA25" s="1"/>
      <c r="AB25">
        <v>60.95</v>
      </c>
      <c r="AC25" s="1"/>
      <c r="AD25">
        <v>115.58</v>
      </c>
      <c r="AE25" s="1"/>
      <c r="AF25">
        <v>8.9499999999999993</v>
      </c>
      <c r="AG25" s="1"/>
      <c r="AH25">
        <v>6.1</v>
      </c>
      <c r="AI25" s="1"/>
      <c r="AJ25">
        <v>79.62</v>
      </c>
      <c r="AK25" s="1"/>
      <c r="AL25">
        <v>23.51</v>
      </c>
      <c r="AM25" s="1"/>
      <c r="AN25">
        <v>507.05</v>
      </c>
      <c r="AO25" s="1"/>
      <c r="AP25">
        <v>98.584000000000003</v>
      </c>
      <c r="AQ25" s="1"/>
      <c r="AR25">
        <v>100.417</v>
      </c>
      <c r="AS25" s="1"/>
      <c r="AT25">
        <v>114.093</v>
      </c>
      <c r="AU25" s="1"/>
      <c r="AV25">
        <v>110.13500000000001</v>
      </c>
      <c r="AW25" s="1"/>
      <c r="AX25">
        <v>109.13</v>
      </c>
      <c r="AY25" s="1"/>
      <c r="AZ25">
        <v>125.3</v>
      </c>
      <c r="BA25" s="1"/>
      <c r="BB25">
        <v>85.9</v>
      </c>
    </row>
    <row r="26" spans="1:54" x14ac:dyDescent="0.35">
      <c r="A26" s="1">
        <v>45728</v>
      </c>
      <c r="B26">
        <v>20.260000000000002</v>
      </c>
      <c r="C26" s="1"/>
      <c r="D26">
        <v>116.49</v>
      </c>
      <c r="E26" s="1"/>
      <c r="F26">
        <v>325.08</v>
      </c>
      <c r="G26" s="3"/>
      <c r="H26">
        <v>49.61</v>
      </c>
      <c r="I26" s="3"/>
      <c r="J26">
        <v>72.91</v>
      </c>
      <c r="K26" s="1"/>
      <c r="L26">
        <v>495.94</v>
      </c>
      <c r="M26" s="1"/>
      <c r="N26">
        <v>97.12</v>
      </c>
      <c r="O26" s="1"/>
      <c r="P26">
        <v>270.33</v>
      </c>
      <c r="Q26" s="1"/>
      <c r="R26">
        <v>162.85</v>
      </c>
      <c r="S26" s="1"/>
      <c r="T26">
        <v>69.94</v>
      </c>
      <c r="U26" s="1"/>
      <c r="V26">
        <v>821.86</v>
      </c>
      <c r="W26" s="1"/>
      <c r="X26">
        <v>1.3</v>
      </c>
      <c r="Y26" s="1"/>
      <c r="Z26">
        <v>25.55</v>
      </c>
      <c r="AA26" s="1"/>
      <c r="AB26">
        <v>67.3</v>
      </c>
      <c r="AC26" s="1"/>
      <c r="AD26">
        <v>115.74</v>
      </c>
      <c r="AE26" s="1"/>
      <c r="AF26">
        <v>9.4</v>
      </c>
      <c r="AG26" s="1"/>
      <c r="AH26">
        <v>6.39</v>
      </c>
      <c r="AI26" s="1"/>
      <c r="AJ26">
        <v>83.65</v>
      </c>
      <c r="AK26" s="1"/>
      <c r="AL26">
        <v>23.84</v>
      </c>
      <c r="AM26" s="1"/>
      <c r="AN26">
        <v>513.76</v>
      </c>
      <c r="AO26" s="1"/>
      <c r="AP26">
        <v>98.466999999999999</v>
      </c>
      <c r="AQ26" s="1"/>
      <c r="AR26">
        <v>100.361</v>
      </c>
      <c r="AS26" s="1"/>
      <c r="AT26">
        <v>114.194</v>
      </c>
      <c r="AU26" s="1"/>
      <c r="AV26">
        <v>109.95099999999999</v>
      </c>
      <c r="AW26" s="1"/>
      <c r="AX26">
        <v>108.751</v>
      </c>
      <c r="AY26" s="1"/>
      <c r="AZ26">
        <v>66.97</v>
      </c>
      <c r="BA26" s="1"/>
      <c r="BB26">
        <v>48.73</v>
      </c>
    </row>
    <row r="27" spans="1:54" x14ac:dyDescent="0.35">
      <c r="A27" s="1">
        <v>45727</v>
      </c>
      <c r="B27">
        <v>20.39</v>
      </c>
      <c r="C27" s="1"/>
      <c r="D27">
        <v>115.8</v>
      </c>
      <c r="E27" s="1"/>
      <c r="F27">
        <v>325.75</v>
      </c>
      <c r="G27" s="3"/>
      <c r="H27">
        <v>48.19</v>
      </c>
      <c r="I27" s="3"/>
      <c r="J27">
        <v>73.06</v>
      </c>
      <c r="K27" s="1"/>
      <c r="L27">
        <v>496.25</v>
      </c>
      <c r="M27" s="1"/>
      <c r="N27">
        <v>98.28</v>
      </c>
      <c r="O27" s="1"/>
      <c r="P27">
        <v>269.16000000000003</v>
      </c>
      <c r="Q27" s="1"/>
      <c r="R27">
        <v>165.86</v>
      </c>
      <c r="S27" s="1"/>
      <c r="T27">
        <v>71.040000000000006</v>
      </c>
      <c r="U27" s="1"/>
      <c r="V27">
        <v>824.06</v>
      </c>
      <c r="W27" s="1"/>
      <c r="X27">
        <v>1.59</v>
      </c>
      <c r="Y27" s="1"/>
      <c r="Z27">
        <v>21.61</v>
      </c>
      <c r="AA27" s="1"/>
      <c r="AB27">
        <v>72.3</v>
      </c>
      <c r="AC27" s="1"/>
      <c r="AD27">
        <v>108.76</v>
      </c>
      <c r="AE27" s="1"/>
      <c r="AF27">
        <v>9.4499999999999993</v>
      </c>
      <c r="AG27" s="1"/>
      <c r="AH27">
        <v>3.93</v>
      </c>
      <c r="AI27" s="1"/>
      <c r="AJ27">
        <v>78.05</v>
      </c>
      <c r="AK27" s="1"/>
      <c r="AL27">
        <v>23.66</v>
      </c>
      <c r="AM27" s="1"/>
      <c r="AN27">
        <v>511.28</v>
      </c>
      <c r="AO27" s="1"/>
      <c r="AP27">
        <v>98.638999999999996</v>
      </c>
      <c r="AQ27" s="1"/>
      <c r="AR27">
        <v>100.54300000000001</v>
      </c>
      <c r="AS27" s="1"/>
      <c r="AT27">
        <v>114.807</v>
      </c>
      <c r="AU27" s="1"/>
      <c r="AV27">
        <v>110.202</v>
      </c>
      <c r="AW27" s="1"/>
      <c r="AX27">
        <v>109.07299999999999</v>
      </c>
      <c r="AY27" s="1"/>
      <c r="AZ27">
        <v>71.900000000000006</v>
      </c>
      <c r="BA27" s="1"/>
      <c r="BB27">
        <v>57.2</v>
      </c>
    </row>
    <row r="28" spans="1:54" x14ac:dyDescent="0.35">
      <c r="A28" s="1">
        <v>45726</v>
      </c>
      <c r="B28">
        <v>20.81</v>
      </c>
      <c r="C28" s="1"/>
      <c r="D28">
        <v>116.41</v>
      </c>
      <c r="E28" s="1"/>
      <c r="F28">
        <v>321.85000000000002</v>
      </c>
      <c r="G28" s="3"/>
      <c r="H28">
        <v>47.86</v>
      </c>
      <c r="I28" s="3"/>
      <c r="J28">
        <v>73.34</v>
      </c>
      <c r="K28" s="1"/>
      <c r="L28">
        <v>497.1</v>
      </c>
      <c r="M28" s="1"/>
      <c r="N28">
        <v>99.73</v>
      </c>
      <c r="O28" s="1"/>
      <c r="P28">
        <v>266.04000000000002</v>
      </c>
      <c r="Q28" s="1"/>
      <c r="R28">
        <v>167.7</v>
      </c>
      <c r="S28" s="1"/>
      <c r="T28">
        <v>71.45</v>
      </c>
      <c r="U28" s="1"/>
      <c r="V28">
        <v>829.76</v>
      </c>
      <c r="W28" s="1"/>
      <c r="X28">
        <v>1.46</v>
      </c>
      <c r="Y28" s="1"/>
      <c r="Z28">
        <v>23.15</v>
      </c>
      <c r="AA28" s="1"/>
      <c r="AB28">
        <v>80</v>
      </c>
      <c r="AC28" s="1"/>
      <c r="AD28">
        <v>106.98</v>
      </c>
      <c r="AE28" s="1"/>
      <c r="AF28">
        <v>8.2899999999999991</v>
      </c>
      <c r="AG28" s="1"/>
      <c r="AH28">
        <v>3.5</v>
      </c>
      <c r="AI28" s="1"/>
      <c r="AJ28">
        <v>76.38</v>
      </c>
      <c r="AK28" s="1"/>
      <c r="AL28">
        <v>23.11</v>
      </c>
      <c r="AM28" s="1"/>
      <c r="AN28">
        <v>515.51</v>
      </c>
      <c r="AO28" s="1"/>
      <c r="AP28">
        <v>99.748000000000005</v>
      </c>
      <c r="AQ28" s="1"/>
      <c r="AR28">
        <v>101.322</v>
      </c>
      <c r="AS28" s="1"/>
      <c r="AT28">
        <v>114.896</v>
      </c>
      <c r="AU28" s="1"/>
      <c r="AV28">
        <v>111.074</v>
      </c>
      <c r="AW28" s="1"/>
      <c r="AX28">
        <v>109.89700000000001</v>
      </c>
      <c r="AY28" s="1"/>
      <c r="AZ28">
        <v>76</v>
      </c>
      <c r="BA28" s="1"/>
      <c r="BB28">
        <v>69.38</v>
      </c>
    </row>
    <row r="29" spans="1:54" x14ac:dyDescent="0.35">
      <c r="A29" s="1">
        <v>45723</v>
      </c>
      <c r="B29">
        <v>21.33</v>
      </c>
      <c r="C29" s="1"/>
      <c r="D29">
        <v>119.5</v>
      </c>
      <c r="E29" s="1"/>
      <c r="F29">
        <v>324</v>
      </c>
      <c r="G29" s="3"/>
      <c r="H29">
        <v>52.45</v>
      </c>
      <c r="I29" s="3"/>
      <c r="J29">
        <v>73</v>
      </c>
      <c r="K29" s="1"/>
      <c r="L29">
        <v>495.62</v>
      </c>
      <c r="M29" s="1"/>
      <c r="N29">
        <v>101.31</v>
      </c>
      <c r="O29" s="1"/>
      <c r="P29">
        <v>268.39</v>
      </c>
      <c r="Q29" s="1"/>
      <c r="R29">
        <v>166.69</v>
      </c>
      <c r="S29" s="1"/>
      <c r="T29">
        <v>71.430000000000007</v>
      </c>
      <c r="U29" s="1"/>
      <c r="V29">
        <v>869.58</v>
      </c>
      <c r="W29" s="1"/>
      <c r="X29">
        <v>1.35</v>
      </c>
      <c r="Y29" s="1"/>
      <c r="Z29">
        <v>29.55</v>
      </c>
      <c r="AA29" s="1"/>
      <c r="AB29">
        <v>65.5</v>
      </c>
      <c r="AC29" s="1"/>
      <c r="AD29">
        <v>112.69</v>
      </c>
      <c r="AE29" s="1"/>
      <c r="AF29">
        <v>6.59</v>
      </c>
      <c r="AG29" s="1"/>
      <c r="AH29">
        <v>5.22</v>
      </c>
      <c r="AI29" s="1"/>
      <c r="AJ29">
        <v>84.91</v>
      </c>
      <c r="AK29" s="1"/>
      <c r="AL29">
        <v>23.94</v>
      </c>
      <c r="AM29" s="1"/>
      <c r="AN29">
        <v>529.51</v>
      </c>
      <c r="AO29" s="1"/>
      <c r="AP29">
        <v>99.058999999999997</v>
      </c>
      <c r="AQ29" s="1"/>
      <c r="AR29">
        <v>100.803</v>
      </c>
      <c r="AS29" s="1"/>
      <c r="AT29">
        <v>114.59099999999999</v>
      </c>
      <c r="AU29" s="1"/>
      <c r="AV29">
        <v>110.512</v>
      </c>
      <c r="AW29" s="1"/>
      <c r="AX29">
        <v>109.33</v>
      </c>
      <c r="AY29" s="1"/>
      <c r="AZ29">
        <v>54.71</v>
      </c>
      <c r="BA29" s="1"/>
      <c r="BB29">
        <v>75.2</v>
      </c>
    </row>
    <row r="30" spans="1:54" x14ac:dyDescent="0.35">
      <c r="A30" s="1">
        <v>45722</v>
      </c>
      <c r="B30">
        <v>21.39</v>
      </c>
      <c r="C30" s="1"/>
      <c r="D30">
        <v>118.7</v>
      </c>
      <c r="E30" s="1"/>
      <c r="F30">
        <v>339.85</v>
      </c>
      <c r="G30" s="3"/>
      <c r="H30">
        <v>52.14</v>
      </c>
      <c r="I30" s="3"/>
      <c r="J30">
        <v>73.08</v>
      </c>
      <c r="K30" s="1"/>
      <c r="L30">
        <v>497.84</v>
      </c>
      <c r="M30" s="1"/>
      <c r="N30">
        <v>100.93</v>
      </c>
      <c r="O30" s="1"/>
      <c r="P30">
        <v>268.25</v>
      </c>
      <c r="Q30" s="1"/>
      <c r="R30">
        <v>165.83</v>
      </c>
      <c r="S30" s="1"/>
      <c r="T30">
        <v>70.459999999999994</v>
      </c>
      <c r="U30" s="1"/>
      <c r="V30">
        <v>912.76</v>
      </c>
      <c r="W30" s="1"/>
      <c r="X30">
        <v>2.25</v>
      </c>
      <c r="Y30" s="1"/>
      <c r="Z30">
        <v>29</v>
      </c>
      <c r="AA30" s="1"/>
      <c r="AB30">
        <v>59.4</v>
      </c>
      <c r="AC30" s="1"/>
      <c r="AD30">
        <v>110.57</v>
      </c>
      <c r="AE30" s="1"/>
      <c r="AF30">
        <v>7.3</v>
      </c>
      <c r="AG30" s="1"/>
      <c r="AH30">
        <v>4.8499999999999996</v>
      </c>
      <c r="AI30" s="1"/>
      <c r="AJ30">
        <v>80.459999999999994</v>
      </c>
      <c r="AK30" s="1"/>
      <c r="AL30">
        <v>24.22</v>
      </c>
      <c r="AM30" s="1"/>
      <c r="AN30">
        <v>526.66999999999996</v>
      </c>
      <c r="AO30" s="1"/>
      <c r="AP30">
        <v>99.177000000000007</v>
      </c>
      <c r="AQ30" s="1"/>
      <c r="AR30">
        <v>101.01900000000001</v>
      </c>
      <c r="AS30" s="1"/>
      <c r="AT30">
        <v>114.634</v>
      </c>
      <c r="AU30" s="1"/>
      <c r="AV30">
        <v>110.712</v>
      </c>
      <c r="AW30" s="1"/>
      <c r="AX30">
        <v>109.42100000000001</v>
      </c>
      <c r="AY30" s="1"/>
      <c r="AZ30">
        <v>62.5</v>
      </c>
      <c r="BA30" s="1"/>
      <c r="BB30">
        <v>70.56</v>
      </c>
    </row>
    <row r="31" spans="1:54" x14ac:dyDescent="0.35">
      <c r="A31" s="1">
        <v>45721</v>
      </c>
      <c r="B31">
        <v>22.06</v>
      </c>
      <c r="C31" s="1"/>
      <c r="D31">
        <v>120.56</v>
      </c>
      <c r="E31" s="1"/>
      <c r="F31">
        <v>340.79</v>
      </c>
      <c r="G31" s="3"/>
      <c r="H31">
        <v>54.7</v>
      </c>
      <c r="I31" s="3"/>
      <c r="J31">
        <v>73.14</v>
      </c>
      <c r="K31" s="1"/>
      <c r="L31">
        <v>498.5</v>
      </c>
      <c r="M31" s="1"/>
      <c r="N31">
        <v>103.54</v>
      </c>
      <c r="O31" s="1"/>
      <c r="P31">
        <v>269.62</v>
      </c>
      <c r="Q31" s="1"/>
      <c r="R31">
        <v>165.12</v>
      </c>
      <c r="S31" s="1"/>
      <c r="T31">
        <v>70.08</v>
      </c>
      <c r="U31" s="1"/>
      <c r="V31">
        <v>929.72</v>
      </c>
      <c r="W31" s="1"/>
      <c r="X31">
        <v>2.2400000000000002</v>
      </c>
      <c r="Y31" s="1"/>
      <c r="Z31">
        <v>31.3</v>
      </c>
      <c r="AA31" s="1"/>
      <c r="AB31">
        <v>109.5</v>
      </c>
      <c r="AC31" s="1"/>
      <c r="AD31">
        <v>117.3</v>
      </c>
      <c r="AE31" s="1"/>
      <c r="AF31">
        <v>7.83</v>
      </c>
      <c r="AG31" s="1"/>
      <c r="AH31">
        <v>7.7</v>
      </c>
      <c r="AI31" s="1"/>
      <c r="AJ31">
        <v>90.13</v>
      </c>
      <c r="AK31" s="1"/>
      <c r="AL31">
        <v>24.67</v>
      </c>
      <c r="AM31" s="1"/>
      <c r="AN31">
        <v>536.4</v>
      </c>
      <c r="AO31" s="1"/>
      <c r="AP31">
        <v>99.210999999999999</v>
      </c>
      <c r="AQ31" s="1"/>
      <c r="AR31">
        <v>100.941</v>
      </c>
      <c r="AS31" s="1"/>
      <c r="AT31">
        <v>115.02500000000001</v>
      </c>
      <c r="AU31" s="1"/>
      <c r="AV31">
        <v>110.797</v>
      </c>
      <c r="AW31" s="1"/>
      <c r="AX31">
        <v>109.749</v>
      </c>
      <c r="AY31" s="1"/>
      <c r="AZ31">
        <v>53.07</v>
      </c>
      <c r="BA31" s="1"/>
      <c r="BB31">
        <v>86</v>
      </c>
    </row>
    <row r="32" spans="1:54" x14ac:dyDescent="0.35">
      <c r="A32" s="1">
        <v>45720</v>
      </c>
      <c r="B32">
        <v>21.73</v>
      </c>
      <c r="C32" s="1"/>
      <c r="D32">
        <v>118.68</v>
      </c>
      <c r="E32" s="1"/>
      <c r="F32">
        <v>337.27</v>
      </c>
      <c r="G32" s="3"/>
      <c r="H32">
        <v>53.17</v>
      </c>
      <c r="I32" s="3"/>
      <c r="J32">
        <v>73.400000000000006</v>
      </c>
      <c r="K32" s="1"/>
      <c r="L32">
        <v>495.86</v>
      </c>
      <c r="M32" s="1"/>
      <c r="N32">
        <v>103.02</v>
      </c>
      <c r="O32" s="1"/>
      <c r="P32">
        <v>269.06</v>
      </c>
      <c r="Q32" s="1"/>
      <c r="R32">
        <v>165.42</v>
      </c>
      <c r="S32" s="1"/>
      <c r="T32">
        <v>70.19</v>
      </c>
      <c r="U32" s="1"/>
      <c r="V32">
        <v>911.06</v>
      </c>
      <c r="Y32" s="1"/>
      <c r="Z32">
        <v>39</v>
      </c>
      <c r="AC32" s="1"/>
      <c r="AD32">
        <v>115.99</v>
      </c>
      <c r="AE32" s="1"/>
      <c r="AF32">
        <v>6.93</v>
      </c>
      <c r="AG32" s="1"/>
      <c r="AH32">
        <v>7.69</v>
      </c>
      <c r="AI32" s="1"/>
      <c r="AJ32">
        <v>84.4</v>
      </c>
      <c r="AK32" s="1"/>
      <c r="AL32">
        <v>24.05</v>
      </c>
      <c r="AM32" s="1"/>
      <c r="AN32">
        <v>530.45000000000005</v>
      </c>
      <c r="AO32" s="1"/>
      <c r="AP32">
        <v>99.287999999999997</v>
      </c>
      <c r="AQ32" s="1"/>
      <c r="AR32">
        <v>101.04300000000001</v>
      </c>
      <c r="AS32" s="1"/>
      <c r="AT32">
        <v>114.878</v>
      </c>
      <c r="AU32" s="1"/>
      <c r="AV32">
        <v>110.92100000000001</v>
      </c>
      <c r="AW32" s="1"/>
      <c r="AX32">
        <v>109.726</v>
      </c>
      <c r="AY32" s="1"/>
      <c r="AZ32">
        <v>48.5</v>
      </c>
      <c r="BA32" s="1"/>
      <c r="BB32">
        <v>74.900000000000006</v>
      </c>
    </row>
    <row r="33" spans="1:54" x14ac:dyDescent="0.35">
      <c r="A33" s="1">
        <v>45719</v>
      </c>
      <c r="B33">
        <v>22.2</v>
      </c>
      <c r="C33" s="1"/>
      <c r="D33">
        <v>119.55</v>
      </c>
      <c r="E33" s="1"/>
      <c r="F33">
        <v>341.8</v>
      </c>
      <c r="G33" s="3"/>
      <c r="H33">
        <v>53.09</v>
      </c>
      <c r="I33" s="3"/>
      <c r="J33">
        <v>73.61</v>
      </c>
      <c r="K33" s="1"/>
      <c r="L33">
        <v>510.08</v>
      </c>
      <c r="M33" s="1"/>
      <c r="N33">
        <v>105.48</v>
      </c>
      <c r="O33" s="1"/>
      <c r="P33">
        <v>266.74</v>
      </c>
      <c r="Q33" s="1"/>
      <c r="R33">
        <v>167.28</v>
      </c>
      <c r="S33" s="1"/>
      <c r="T33">
        <v>72.319999999999993</v>
      </c>
      <c r="U33" s="1"/>
      <c r="V33">
        <v>929.72</v>
      </c>
      <c r="Y33" s="1"/>
      <c r="Z33">
        <v>35.57</v>
      </c>
      <c r="AC33" s="1"/>
      <c r="AD33">
        <v>114.06</v>
      </c>
      <c r="AE33" s="1"/>
      <c r="AF33">
        <v>6.38</v>
      </c>
      <c r="AG33" s="1"/>
      <c r="AH33">
        <v>6.9</v>
      </c>
      <c r="AI33" s="1"/>
      <c r="AJ33">
        <v>83.42</v>
      </c>
      <c r="AK33" s="1"/>
      <c r="AL33">
        <v>23.49</v>
      </c>
      <c r="AM33" s="1"/>
      <c r="AN33">
        <v>536.91999999999996</v>
      </c>
      <c r="AO33" s="1"/>
      <c r="AP33">
        <v>100.26</v>
      </c>
      <c r="AQ33" s="1"/>
      <c r="AR33">
        <v>101.729</v>
      </c>
      <c r="AS33" s="1"/>
      <c r="AT33">
        <v>115.642</v>
      </c>
      <c r="AU33" s="1"/>
      <c r="AV33">
        <v>111.46</v>
      </c>
      <c r="AW33" s="1"/>
      <c r="AX33">
        <v>110.402</v>
      </c>
      <c r="AY33" s="1"/>
      <c r="AZ33">
        <v>41.53</v>
      </c>
      <c r="BA33" s="1"/>
      <c r="BB33">
        <v>91.8</v>
      </c>
    </row>
    <row r="34" spans="1:54" x14ac:dyDescent="0.35">
      <c r="A34" s="1">
        <v>45716</v>
      </c>
      <c r="B34">
        <v>22.46</v>
      </c>
      <c r="C34" s="1"/>
      <c r="D34">
        <v>120.83</v>
      </c>
      <c r="E34" s="1"/>
      <c r="F34">
        <v>337.74</v>
      </c>
      <c r="G34" s="3"/>
      <c r="H34">
        <v>55.64</v>
      </c>
      <c r="I34" s="3"/>
      <c r="J34">
        <v>73.66</v>
      </c>
      <c r="K34" s="1"/>
      <c r="L34">
        <v>513.83000000000004</v>
      </c>
      <c r="M34" s="1"/>
      <c r="N34">
        <v>105.42</v>
      </c>
      <c r="O34" s="1"/>
      <c r="P34">
        <v>263.27</v>
      </c>
      <c r="Q34" s="1"/>
      <c r="R34">
        <v>165.02</v>
      </c>
      <c r="S34" s="1"/>
      <c r="T34">
        <v>71.209999999999994</v>
      </c>
      <c r="U34" s="1"/>
      <c r="V34">
        <v>920.63</v>
      </c>
      <c r="Y34" s="1"/>
      <c r="Z34">
        <v>45.25</v>
      </c>
      <c r="AC34" s="1"/>
      <c r="AD34">
        <v>124.92</v>
      </c>
      <c r="AG34" s="1"/>
      <c r="AH34">
        <v>12.5</v>
      </c>
      <c r="AI34" s="1"/>
      <c r="AJ34">
        <v>84.92</v>
      </c>
      <c r="AK34" s="1"/>
      <c r="AL34">
        <v>24.8</v>
      </c>
      <c r="AM34" s="1"/>
      <c r="AN34">
        <v>546.33000000000004</v>
      </c>
      <c r="AO34" s="1"/>
      <c r="AP34">
        <v>99.798000000000002</v>
      </c>
      <c r="AQ34" s="1"/>
      <c r="AR34">
        <v>101.355</v>
      </c>
      <c r="AS34" s="1"/>
      <c r="AT34">
        <v>115.489</v>
      </c>
      <c r="AU34" s="1"/>
      <c r="AV34">
        <v>111.075</v>
      </c>
      <c r="AW34" s="1"/>
      <c r="AX34">
        <v>109.788</v>
      </c>
      <c r="AY34" s="1"/>
      <c r="AZ34">
        <v>30.49</v>
      </c>
    </row>
    <row r="35" spans="1:54" x14ac:dyDescent="0.35">
      <c r="A35" s="1">
        <v>45715</v>
      </c>
      <c r="B35">
        <v>22.42</v>
      </c>
      <c r="C35" s="1"/>
      <c r="D35">
        <v>119.67</v>
      </c>
      <c r="E35" s="1"/>
      <c r="F35">
        <v>333.17</v>
      </c>
      <c r="G35" s="3"/>
      <c r="H35">
        <v>54.59</v>
      </c>
      <c r="I35" s="3"/>
      <c r="J35">
        <v>73.349999999999994</v>
      </c>
      <c r="K35" s="1"/>
      <c r="L35">
        <v>502.41</v>
      </c>
      <c r="M35" s="1"/>
      <c r="N35">
        <v>104.01</v>
      </c>
      <c r="O35" s="1"/>
      <c r="P35">
        <v>264.93</v>
      </c>
      <c r="Q35" s="1"/>
      <c r="R35">
        <v>163.72999999999999</v>
      </c>
      <c r="S35" s="1"/>
      <c r="T35">
        <v>70.87</v>
      </c>
      <c r="U35" s="1"/>
      <c r="V35">
        <v>905.16</v>
      </c>
      <c r="Y35" s="1"/>
      <c r="Z35">
        <v>45.2</v>
      </c>
      <c r="AC35" s="1"/>
      <c r="AD35">
        <v>120.15</v>
      </c>
      <c r="AG35" s="1"/>
      <c r="AH35">
        <v>10</v>
      </c>
      <c r="AI35" s="1"/>
      <c r="AJ35">
        <v>84.77</v>
      </c>
      <c r="AK35" s="1"/>
      <c r="AL35">
        <v>24.72</v>
      </c>
      <c r="AM35" s="1"/>
      <c r="AN35">
        <v>537.97</v>
      </c>
      <c r="AO35" s="1"/>
      <c r="AP35">
        <v>99.695999999999998</v>
      </c>
      <c r="AQ35" s="1"/>
      <c r="AR35">
        <v>101.28400000000001</v>
      </c>
      <c r="AS35" s="1"/>
      <c r="AT35">
        <v>115.59699999999999</v>
      </c>
      <c r="AU35" s="1"/>
      <c r="AV35">
        <v>110.896</v>
      </c>
      <c r="AW35" s="1"/>
      <c r="AX35">
        <v>109.73399999999999</v>
      </c>
      <c r="AY35" s="1"/>
      <c r="AZ35">
        <v>32.799999999999997</v>
      </c>
    </row>
    <row r="36" spans="1:54" x14ac:dyDescent="0.35">
      <c r="A36" s="1">
        <v>45714</v>
      </c>
      <c r="B36">
        <v>21.89</v>
      </c>
      <c r="C36" s="1"/>
      <c r="D36">
        <v>121.52</v>
      </c>
      <c r="E36" s="1"/>
      <c r="F36">
        <v>328.33</v>
      </c>
      <c r="G36" s="3"/>
      <c r="H36">
        <v>56.46</v>
      </c>
      <c r="I36" s="3"/>
      <c r="J36">
        <v>73.44</v>
      </c>
      <c r="K36" s="1"/>
      <c r="L36">
        <v>494.1</v>
      </c>
      <c r="M36" s="1"/>
      <c r="N36">
        <v>105.04</v>
      </c>
      <c r="O36" s="1"/>
      <c r="P36">
        <v>269.02999999999997</v>
      </c>
      <c r="Q36" s="1"/>
      <c r="R36">
        <v>163.08000000000001</v>
      </c>
      <c r="S36" s="1"/>
      <c r="T36">
        <v>70.8</v>
      </c>
      <c r="U36" s="1"/>
      <c r="V36">
        <v>915.01</v>
      </c>
      <c r="Y36" s="1"/>
      <c r="Z36">
        <v>54.2</v>
      </c>
      <c r="AC36" s="1"/>
      <c r="AD36">
        <v>131.28</v>
      </c>
      <c r="AG36" s="1"/>
      <c r="AH36">
        <v>17.850000000000001</v>
      </c>
      <c r="AI36" s="1"/>
      <c r="AJ36">
        <v>89.31</v>
      </c>
      <c r="AK36" s="1"/>
      <c r="AL36">
        <v>25.71</v>
      </c>
      <c r="AM36" s="1"/>
      <c r="AN36">
        <v>546.75</v>
      </c>
      <c r="AO36" s="1"/>
      <c r="AP36">
        <v>99.774000000000001</v>
      </c>
      <c r="AQ36" s="1"/>
      <c r="AR36">
        <v>101.32899999999999</v>
      </c>
      <c r="AS36" s="1"/>
      <c r="AT36">
        <v>115.29</v>
      </c>
      <c r="AU36" s="1"/>
      <c r="AV36">
        <v>110.949</v>
      </c>
      <c r="AW36" s="1"/>
      <c r="AX36">
        <v>108.961</v>
      </c>
      <c r="AY36" s="1"/>
      <c r="AZ36">
        <v>34.78</v>
      </c>
    </row>
    <row r="37" spans="1:54" x14ac:dyDescent="0.35">
      <c r="A37" s="1">
        <v>45713</v>
      </c>
      <c r="B37">
        <v>21.89</v>
      </c>
      <c r="C37" s="1"/>
      <c r="D37">
        <v>121.29</v>
      </c>
      <c r="E37" s="1"/>
      <c r="F37">
        <v>331.83</v>
      </c>
      <c r="G37" s="3"/>
      <c r="H37">
        <v>56</v>
      </c>
      <c r="I37" s="3"/>
      <c r="J37">
        <v>73.33</v>
      </c>
      <c r="K37" s="1"/>
      <c r="L37">
        <v>499.82</v>
      </c>
      <c r="M37" s="1"/>
      <c r="N37">
        <v>105.61</v>
      </c>
      <c r="O37" s="1"/>
      <c r="P37">
        <v>268.62</v>
      </c>
      <c r="Q37" s="1"/>
      <c r="R37">
        <v>166.09</v>
      </c>
      <c r="S37" s="1"/>
      <c r="T37">
        <v>71.489999999999995</v>
      </c>
      <c r="U37" s="1"/>
      <c r="V37">
        <v>901.8</v>
      </c>
      <c r="Y37" s="1"/>
      <c r="Z37">
        <v>45.3</v>
      </c>
      <c r="AC37" s="1"/>
      <c r="AD37">
        <v>126.63</v>
      </c>
      <c r="AG37" s="1"/>
      <c r="AH37">
        <v>15.35</v>
      </c>
      <c r="AI37" s="1"/>
      <c r="AJ37">
        <v>87.84</v>
      </c>
      <c r="AK37" s="1"/>
      <c r="AL37">
        <v>25.18</v>
      </c>
      <c r="AM37" s="1"/>
      <c r="AN37">
        <v>546.41</v>
      </c>
      <c r="AO37" s="1"/>
      <c r="AP37">
        <v>99.597999999999999</v>
      </c>
      <c r="AQ37" s="1"/>
      <c r="AR37">
        <v>101.422</v>
      </c>
      <c r="AS37" s="1"/>
      <c r="AT37">
        <v>115.19199999999999</v>
      </c>
      <c r="AU37" s="1"/>
      <c r="AV37">
        <v>110.877</v>
      </c>
      <c r="AW37" s="1"/>
      <c r="AX37">
        <v>109.38500000000001</v>
      </c>
      <c r="AY37" s="1"/>
      <c r="AZ37">
        <v>44.25</v>
      </c>
    </row>
    <row r="38" spans="1:54" x14ac:dyDescent="0.35">
      <c r="A38" s="1">
        <v>45712</v>
      </c>
      <c r="B38">
        <v>22.02</v>
      </c>
      <c r="C38" s="1"/>
      <c r="D38">
        <v>121.48</v>
      </c>
      <c r="E38" s="1"/>
      <c r="F38">
        <v>328.49</v>
      </c>
      <c r="G38" s="3"/>
      <c r="H38">
        <v>59.08</v>
      </c>
      <c r="I38" s="3"/>
      <c r="J38">
        <v>72.87</v>
      </c>
      <c r="K38" s="1"/>
      <c r="L38">
        <v>498.42</v>
      </c>
      <c r="M38" s="1"/>
      <c r="N38">
        <v>105.63</v>
      </c>
      <c r="O38" s="1"/>
      <c r="P38">
        <v>272.20999999999998</v>
      </c>
      <c r="Q38" s="1"/>
      <c r="R38">
        <v>163.74</v>
      </c>
      <c r="S38" s="1"/>
      <c r="T38">
        <v>70.59</v>
      </c>
      <c r="U38" s="1"/>
      <c r="V38">
        <v>881.4</v>
      </c>
      <c r="Y38" s="1"/>
      <c r="Z38">
        <v>48.35</v>
      </c>
      <c r="AC38" s="1"/>
      <c r="AD38">
        <v>130.28</v>
      </c>
      <c r="AG38" s="1"/>
      <c r="AH38">
        <v>17.649999999999999</v>
      </c>
      <c r="AI38" s="1"/>
      <c r="AJ38">
        <v>90.68</v>
      </c>
      <c r="AK38" s="1"/>
      <c r="AL38">
        <v>25.66</v>
      </c>
      <c r="AM38" s="1"/>
      <c r="AN38">
        <v>549.14</v>
      </c>
      <c r="AO38" s="1"/>
      <c r="AP38">
        <v>98.966999999999999</v>
      </c>
      <c r="AQ38" s="1"/>
      <c r="AR38">
        <v>100.78400000000001</v>
      </c>
      <c r="AS38" s="1"/>
      <c r="AT38">
        <v>114.821</v>
      </c>
      <c r="AU38" s="1"/>
      <c r="AV38">
        <v>110.059</v>
      </c>
      <c r="AW38" s="1"/>
      <c r="AX38">
        <v>108.961</v>
      </c>
      <c r="AY38" s="1"/>
      <c r="AZ38">
        <v>41.5</v>
      </c>
    </row>
    <row r="39" spans="1:54" x14ac:dyDescent="0.35">
      <c r="A39" s="1">
        <v>45709</v>
      </c>
      <c r="B39">
        <v>21.83</v>
      </c>
      <c r="C39" s="1"/>
      <c r="D39">
        <v>122.13</v>
      </c>
      <c r="E39" s="1"/>
      <c r="F39">
        <v>325.56</v>
      </c>
      <c r="G39" s="3"/>
      <c r="H39">
        <v>60.2</v>
      </c>
      <c r="I39" s="3"/>
      <c r="J39">
        <v>72.765000000000001</v>
      </c>
      <c r="K39" s="1"/>
      <c r="L39">
        <v>478.74</v>
      </c>
      <c r="M39" s="1"/>
      <c r="N39">
        <v>104.25</v>
      </c>
      <c r="O39" s="1"/>
      <c r="P39">
        <v>270.74</v>
      </c>
      <c r="Q39" s="1"/>
      <c r="R39">
        <v>162.30000000000001</v>
      </c>
      <c r="S39" s="1"/>
      <c r="T39">
        <v>71.349999999999994</v>
      </c>
      <c r="U39" s="1"/>
      <c r="V39">
        <v>873.68</v>
      </c>
      <c r="Y39" s="1"/>
      <c r="Z39">
        <v>49.95</v>
      </c>
      <c r="AC39" s="1"/>
      <c r="AD39">
        <v>134.43</v>
      </c>
      <c r="AG39" s="1"/>
      <c r="AH39">
        <v>20.309999999999999</v>
      </c>
      <c r="AI39" s="1"/>
      <c r="AJ39">
        <v>101.35</v>
      </c>
      <c r="AK39" s="1"/>
      <c r="AL39">
        <v>26.06</v>
      </c>
      <c r="AM39" s="1"/>
      <c r="AN39">
        <v>551.75</v>
      </c>
      <c r="AO39" s="1"/>
      <c r="AP39">
        <v>98.700999999999993</v>
      </c>
      <c r="AQ39" s="1"/>
      <c r="AR39">
        <v>100.54300000000001</v>
      </c>
      <c r="AS39" s="1"/>
      <c r="AT39">
        <v>114.605</v>
      </c>
      <c r="AU39" s="1"/>
      <c r="AV39">
        <v>109.75</v>
      </c>
      <c r="AW39" s="1"/>
      <c r="AX39">
        <v>107.71</v>
      </c>
      <c r="AY39" s="1"/>
      <c r="AZ39">
        <v>42.5</v>
      </c>
    </row>
    <row r="40" spans="1:54" x14ac:dyDescent="0.35">
      <c r="A40" s="1">
        <v>45708</v>
      </c>
      <c r="B40">
        <v>22.02</v>
      </c>
      <c r="C40" s="1"/>
      <c r="D40">
        <v>123.81</v>
      </c>
      <c r="E40" s="1"/>
      <c r="F40">
        <v>325.13</v>
      </c>
      <c r="G40" s="3"/>
      <c r="H40">
        <v>63.98</v>
      </c>
      <c r="I40" s="3"/>
      <c r="J40">
        <v>72.45</v>
      </c>
      <c r="K40" s="1"/>
      <c r="L40">
        <v>481.8</v>
      </c>
      <c r="M40" s="1"/>
      <c r="N40">
        <v>104.53</v>
      </c>
      <c r="O40" s="1"/>
      <c r="P40">
        <v>270.99</v>
      </c>
      <c r="Q40" s="1"/>
      <c r="R40">
        <v>159.68</v>
      </c>
      <c r="S40" s="1"/>
      <c r="T40">
        <v>70.040000000000006</v>
      </c>
      <c r="U40" s="1"/>
      <c r="V40">
        <v>873.12</v>
      </c>
      <c r="Y40" s="1"/>
      <c r="Z40">
        <v>70.849999999999994</v>
      </c>
      <c r="AC40" s="1"/>
      <c r="AD40">
        <v>140.11000000000001</v>
      </c>
      <c r="AG40" s="1"/>
      <c r="AH40">
        <v>24.35</v>
      </c>
      <c r="AI40" s="1"/>
      <c r="AJ40">
        <v>106.27</v>
      </c>
      <c r="AK40" s="1"/>
      <c r="AL40">
        <v>27.25</v>
      </c>
      <c r="AM40" s="1"/>
      <c r="AN40">
        <v>561.29999999999995</v>
      </c>
      <c r="AO40" s="1"/>
      <c r="AP40">
        <v>98.138999999999996</v>
      </c>
      <c r="AQ40" s="1"/>
      <c r="AR40">
        <v>100.169</v>
      </c>
      <c r="AS40" s="1"/>
      <c r="AT40">
        <v>114.596</v>
      </c>
      <c r="AU40" s="1"/>
      <c r="AV40">
        <v>109.47</v>
      </c>
      <c r="AW40" s="1"/>
      <c r="AX40">
        <v>107.283</v>
      </c>
      <c r="AY40" s="1"/>
      <c r="AZ40">
        <v>44.29</v>
      </c>
    </row>
    <row r="41" spans="1:54" x14ac:dyDescent="0.35">
      <c r="A41" s="1">
        <v>45707</v>
      </c>
      <c r="B41">
        <v>21.71</v>
      </c>
      <c r="C41" s="1"/>
      <c r="D41">
        <v>123.98</v>
      </c>
      <c r="E41" s="1"/>
      <c r="F41">
        <v>327.33</v>
      </c>
      <c r="G41" s="3"/>
      <c r="H41">
        <v>65.709999999999994</v>
      </c>
      <c r="I41" s="3"/>
      <c r="J41">
        <v>72.36</v>
      </c>
      <c r="K41" s="1"/>
      <c r="L41">
        <v>483.77</v>
      </c>
      <c r="M41" s="1"/>
      <c r="N41">
        <v>105.01</v>
      </c>
      <c r="O41" s="1"/>
      <c r="P41">
        <v>270.85000000000002</v>
      </c>
      <c r="Q41" s="1"/>
      <c r="R41">
        <v>157.88999999999999</v>
      </c>
      <c r="S41" s="1"/>
      <c r="T41">
        <v>70.069999999999993</v>
      </c>
      <c r="U41" s="1"/>
      <c r="V41">
        <v>867.05</v>
      </c>
      <c r="Y41" s="1"/>
      <c r="Z41">
        <v>94.3</v>
      </c>
      <c r="AC41" s="1"/>
      <c r="AD41">
        <v>139.22999999999999</v>
      </c>
      <c r="AG41" s="1"/>
      <c r="AH41">
        <v>23.89</v>
      </c>
      <c r="AI41" s="1"/>
      <c r="AJ41">
        <v>112.06</v>
      </c>
      <c r="AK41" s="1"/>
      <c r="AL41">
        <v>27.38</v>
      </c>
      <c r="AM41" s="1"/>
      <c r="AN41">
        <v>563.66999999999996</v>
      </c>
      <c r="AO41" s="1"/>
      <c r="AP41">
        <v>97.994</v>
      </c>
      <c r="AQ41" s="1"/>
      <c r="AR41">
        <v>100.041</v>
      </c>
      <c r="AS41" s="1"/>
      <c r="AT41">
        <v>114.184</v>
      </c>
      <c r="AU41" s="1"/>
      <c r="AV41">
        <v>109.31100000000001</v>
      </c>
      <c r="AW41" s="1"/>
      <c r="AX41">
        <v>107.60599999999999</v>
      </c>
      <c r="AY41" s="1"/>
      <c r="AZ41">
        <v>39.590000000000003</v>
      </c>
    </row>
    <row r="42" spans="1:54" x14ac:dyDescent="0.35">
      <c r="A42" s="1">
        <v>45706</v>
      </c>
      <c r="B42">
        <v>21.99</v>
      </c>
      <c r="C42" s="1"/>
      <c r="D42">
        <v>124.13</v>
      </c>
      <c r="E42" s="1"/>
      <c r="F42">
        <v>326.3</v>
      </c>
      <c r="G42" s="3"/>
      <c r="H42">
        <v>66.48</v>
      </c>
      <c r="I42" s="3"/>
      <c r="J42">
        <v>72.260000000000005</v>
      </c>
      <c r="K42" s="1"/>
      <c r="L42">
        <v>482.82</v>
      </c>
      <c r="M42" s="1"/>
      <c r="N42">
        <v>104.71</v>
      </c>
      <c r="O42" s="1"/>
      <c r="P42">
        <v>270.7</v>
      </c>
      <c r="Q42" s="1"/>
      <c r="R42">
        <v>154.99</v>
      </c>
      <c r="S42" s="1"/>
      <c r="T42">
        <v>69.05</v>
      </c>
      <c r="U42" s="1"/>
      <c r="V42">
        <v>857.2</v>
      </c>
      <c r="Y42" s="1"/>
      <c r="Z42">
        <v>92.1</v>
      </c>
      <c r="AC42" s="1"/>
      <c r="AD42">
        <v>139.4</v>
      </c>
      <c r="AG42" s="1"/>
      <c r="AH42">
        <v>24.1</v>
      </c>
      <c r="AI42" s="1"/>
      <c r="AJ42">
        <v>124.62</v>
      </c>
      <c r="AK42" s="1"/>
      <c r="AL42">
        <v>28.2</v>
      </c>
      <c r="AM42" s="1"/>
      <c r="AN42">
        <v>562.30999999999995</v>
      </c>
      <c r="AO42" s="1"/>
      <c r="AP42">
        <v>97.986999999999995</v>
      </c>
      <c r="AQ42" s="1"/>
      <c r="AR42">
        <v>99.938999999999993</v>
      </c>
      <c r="AS42" s="1"/>
      <c r="AT42">
        <v>114.239</v>
      </c>
      <c r="AU42" s="1"/>
      <c r="AV42">
        <v>109.274</v>
      </c>
      <c r="AW42" s="1"/>
      <c r="AX42">
        <v>107.96599999999999</v>
      </c>
      <c r="AY42" s="1"/>
      <c r="AZ42">
        <v>42.69</v>
      </c>
    </row>
    <row r="43" spans="1:54" x14ac:dyDescent="0.35">
      <c r="A43" s="1">
        <v>45702</v>
      </c>
      <c r="B43">
        <v>22.28</v>
      </c>
      <c r="C43" s="1"/>
      <c r="D43">
        <v>123.62</v>
      </c>
      <c r="E43" s="1"/>
      <c r="F43">
        <v>321.5</v>
      </c>
      <c r="G43" s="3"/>
      <c r="H43">
        <v>67.02</v>
      </c>
      <c r="I43" s="3"/>
      <c r="J43">
        <v>72.53</v>
      </c>
      <c r="K43" s="1"/>
      <c r="L43">
        <v>479.59</v>
      </c>
      <c r="M43" s="1"/>
      <c r="N43">
        <v>105.03</v>
      </c>
      <c r="O43" s="1"/>
      <c r="P43">
        <v>266.29000000000002</v>
      </c>
      <c r="Q43" s="1"/>
      <c r="R43">
        <v>156.15</v>
      </c>
      <c r="S43" s="1"/>
      <c r="T43">
        <v>68.87</v>
      </c>
      <c r="U43" s="1"/>
      <c r="V43">
        <v>844.27</v>
      </c>
      <c r="AC43" s="1"/>
      <c r="AD43">
        <v>138.85</v>
      </c>
      <c r="AG43" s="1"/>
      <c r="AH43">
        <v>23.95</v>
      </c>
      <c r="AI43" s="1"/>
      <c r="AJ43">
        <v>119.16</v>
      </c>
      <c r="AK43" s="1"/>
      <c r="AL43">
        <v>28.03</v>
      </c>
      <c r="AM43" s="1"/>
      <c r="AN43">
        <v>560.69000000000005</v>
      </c>
      <c r="AO43" s="1"/>
      <c r="AP43">
        <v>98.427000000000007</v>
      </c>
      <c r="AQ43" s="1"/>
      <c r="AR43">
        <v>100.51300000000001</v>
      </c>
      <c r="AS43" s="1"/>
      <c r="AT43">
        <v>114.592</v>
      </c>
      <c r="AU43" s="1"/>
      <c r="AV43">
        <v>109.77500000000001</v>
      </c>
      <c r="AW43" s="1"/>
      <c r="AX43">
        <v>108.381</v>
      </c>
      <c r="AY43" s="1"/>
      <c r="AZ43">
        <v>52</v>
      </c>
    </row>
    <row r="44" spans="1:54" x14ac:dyDescent="0.35">
      <c r="A44" s="1">
        <v>45701</v>
      </c>
      <c r="B44">
        <v>22.39</v>
      </c>
      <c r="C44" s="1"/>
      <c r="D44">
        <v>123.64</v>
      </c>
      <c r="E44" s="1"/>
      <c r="F44">
        <v>328.56</v>
      </c>
      <c r="G44" s="3"/>
      <c r="H44">
        <v>64.78</v>
      </c>
      <c r="I44" s="3"/>
      <c r="J44">
        <v>72.3</v>
      </c>
      <c r="K44" s="1"/>
      <c r="L44">
        <v>480.49</v>
      </c>
      <c r="M44" s="1"/>
      <c r="N44">
        <v>111.82</v>
      </c>
      <c r="O44" s="1"/>
      <c r="P44">
        <v>270.31</v>
      </c>
      <c r="Q44" s="1"/>
      <c r="R44">
        <v>157.25</v>
      </c>
      <c r="S44" s="1"/>
      <c r="T44">
        <v>69.5</v>
      </c>
      <c r="U44" s="1"/>
      <c r="V44">
        <v>871.86</v>
      </c>
      <c r="AC44" s="1"/>
      <c r="AD44">
        <v>135.29</v>
      </c>
      <c r="AG44" s="1"/>
      <c r="AH44">
        <v>21.35</v>
      </c>
      <c r="AI44" s="1"/>
      <c r="AJ44">
        <v>117.91</v>
      </c>
      <c r="AK44" s="1"/>
      <c r="AL44">
        <v>28.96</v>
      </c>
      <c r="AM44" s="1"/>
      <c r="AN44">
        <v>560.66999999999996</v>
      </c>
      <c r="AO44" s="1"/>
      <c r="AP44">
        <v>97.995000000000005</v>
      </c>
      <c r="AQ44" s="1"/>
      <c r="AR44">
        <v>99.843999999999994</v>
      </c>
      <c r="AS44" s="1"/>
      <c r="AT44">
        <v>114.3</v>
      </c>
      <c r="AU44" s="1"/>
      <c r="AV44">
        <v>109.342</v>
      </c>
      <c r="AW44" s="1"/>
      <c r="AX44">
        <v>108.193</v>
      </c>
      <c r="AY44" s="1"/>
    </row>
    <row r="45" spans="1:54" x14ac:dyDescent="0.35">
      <c r="A45" s="1">
        <v>45700</v>
      </c>
      <c r="B45">
        <v>22.02</v>
      </c>
      <c r="C45" s="1"/>
      <c r="D45">
        <v>122.22</v>
      </c>
      <c r="E45" s="1"/>
      <c r="F45">
        <v>324.61</v>
      </c>
      <c r="G45" s="3"/>
      <c r="H45">
        <v>62.68</v>
      </c>
      <c r="I45" s="3"/>
      <c r="J45">
        <v>71.87</v>
      </c>
      <c r="K45" s="1"/>
      <c r="L45">
        <v>471.73</v>
      </c>
      <c r="M45" s="1"/>
      <c r="N45">
        <v>110.55</v>
      </c>
      <c r="O45" s="1"/>
      <c r="P45">
        <v>267.67</v>
      </c>
      <c r="Q45" s="1"/>
      <c r="R45">
        <v>155.26</v>
      </c>
      <c r="S45" s="1"/>
      <c r="T45">
        <v>68.709999999999994</v>
      </c>
      <c r="U45" s="1"/>
      <c r="V45">
        <v>872.97</v>
      </c>
      <c r="AC45" s="1"/>
      <c r="AD45">
        <v>131.13999999999999</v>
      </c>
      <c r="AG45" s="1"/>
      <c r="AH45">
        <v>18.45</v>
      </c>
      <c r="AI45" s="1"/>
      <c r="AJ45">
        <v>117.39</v>
      </c>
      <c r="AK45" s="1"/>
      <c r="AL45">
        <v>28.94</v>
      </c>
      <c r="AM45" s="1"/>
      <c r="AN45">
        <v>554.80999999999995</v>
      </c>
      <c r="AO45" s="1"/>
      <c r="AP45">
        <v>97.257999999999996</v>
      </c>
      <c r="AQ45" s="1"/>
      <c r="AR45">
        <v>99.131</v>
      </c>
      <c r="AS45" s="1"/>
      <c r="AT45">
        <v>113.9</v>
      </c>
      <c r="AU45" s="1"/>
      <c r="AV45">
        <v>108.455</v>
      </c>
      <c r="AW45" s="1"/>
      <c r="AX45">
        <v>107.315</v>
      </c>
      <c r="AY45" s="1"/>
    </row>
    <row r="46" spans="1:54" x14ac:dyDescent="0.35">
      <c r="A46" s="1">
        <v>45699</v>
      </c>
      <c r="B46">
        <v>22.48</v>
      </c>
      <c r="C46" s="1"/>
      <c r="D46">
        <v>122.33</v>
      </c>
      <c r="E46" s="1"/>
      <c r="F46">
        <v>322</v>
      </c>
      <c r="G46" s="3"/>
      <c r="H46">
        <v>61.35</v>
      </c>
      <c r="I46" s="3"/>
      <c r="J46">
        <v>72.239999999999995</v>
      </c>
      <c r="K46" s="1"/>
      <c r="L46">
        <v>472.61</v>
      </c>
      <c r="M46" s="1"/>
      <c r="N46">
        <v>110.97</v>
      </c>
      <c r="O46" s="1"/>
      <c r="P46">
        <v>267.39</v>
      </c>
      <c r="Q46" s="1"/>
      <c r="R46">
        <v>156.13</v>
      </c>
      <c r="S46" s="1"/>
      <c r="T46">
        <v>67.599999999999994</v>
      </c>
      <c r="U46" s="1"/>
      <c r="V46">
        <v>865</v>
      </c>
      <c r="AC46" s="1"/>
      <c r="AD46">
        <v>132.80000000000001</v>
      </c>
      <c r="AG46" s="1"/>
      <c r="AH46">
        <v>19.649999999999999</v>
      </c>
      <c r="AI46" s="1"/>
      <c r="AJ46">
        <v>112.62</v>
      </c>
      <c r="AK46" s="1"/>
      <c r="AL46">
        <v>28.6</v>
      </c>
      <c r="AM46" s="1"/>
      <c r="AN46">
        <v>556.65</v>
      </c>
      <c r="AO46" s="1"/>
      <c r="AP46">
        <v>96.962000000000003</v>
      </c>
      <c r="AQ46" s="1"/>
      <c r="AR46">
        <v>99.649000000000001</v>
      </c>
      <c r="AS46" s="1"/>
      <c r="AT46">
        <v>114.32899999999999</v>
      </c>
      <c r="AU46" s="1"/>
      <c r="AV46">
        <v>108.925</v>
      </c>
      <c r="AW46" s="1"/>
      <c r="AX46">
        <v>107.745</v>
      </c>
      <c r="AY46" s="1"/>
    </row>
    <row r="47" spans="1:54" x14ac:dyDescent="0.35">
      <c r="A47" s="1">
        <v>45698</v>
      </c>
      <c r="B47">
        <v>22.52</v>
      </c>
      <c r="C47" s="1"/>
      <c r="D47">
        <v>122.31</v>
      </c>
      <c r="E47" s="1"/>
      <c r="F47">
        <v>324.29000000000002</v>
      </c>
      <c r="G47" s="3"/>
      <c r="H47">
        <v>62.72</v>
      </c>
      <c r="I47" s="3"/>
      <c r="J47">
        <v>72.36</v>
      </c>
      <c r="K47" s="1"/>
      <c r="L47">
        <v>470.17</v>
      </c>
      <c r="M47" s="1"/>
      <c r="N47">
        <v>109.8</v>
      </c>
      <c r="O47" s="1"/>
      <c r="P47">
        <v>268.37</v>
      </c>
      <c r="Q47" s="1"/>
      <c r="R47">
        <v>154.24</v>
      </c>
      <c r="S47" s="1"/>
      <c r="T47">
        <v>64.55</v>
      </c>
      <c r="U47" s="1"/>
      <c r="V47">
        <v>868.88</v>
      </c>
      <c r="AC47" s="1"/>
      <c r="AD47">
        <v>133.57</v>
      </c>
      <c r="AG47" s="1"/>
      <c r="AH47">
        <v>20.38</v>
      </c>
      <c r="AI47" s="1"/>
      <c r="AJ47">
        <v>116.65</v>
      </c>
      <c r="AK47" s="1"/>
      <c r="AL47">
        <v>29.1</v>
      </c>
      <c r="AM47" s="1"/>
      <c r="AN47">
        <v>556.15</v>
      </c>
      <c r="AO47" s="1"/>
      <c r="AP47">
        <v>98.162999999999997</v>
      </c>
      <c r="AQ47" s="1"/>
      <c r="AR47">
        <v>100.014</v>
      </c>
      <c r="AS47" s="1"/>
      <c r="AT47">
        <v>114.56100000000001</v>
      </c>
      <c r="AU47" s="1"/>
      <c r="AV47">
        <v>109.24</v>
      </c>
      <c r="AW47" s="1"/>
      <c r="AX47">
        <v>107.96299999999999</v>
      </c>
      <c r="AY47" s="1"/>
    </row>
    <row r="48" spans="1:54" x14ac:dyDescent="0.35">
      <c r="A48" s="1">
        <v>45695</v>
      </c>
      <c r="B48">
        <v>22.63</v>
      </c>
      <c r="C48" s="1"/>
      <c r="D48">
        <v>121.33</v>
      </c>
      <c r="E48" s="1"/>
      <c r="F48">
        <v>322.33</v>
      </c>
      <c r="G48" s="3"/>
      <c r="H48">
        <v>62.76</v>
      </c>
      <c r="I48" s="3"/>
      <c r="J48">
        <v>72.34</v>
      </c>
      <c r="K48" s="1"/>
      <c r="L48">
        <v>472.74</v>
      </c>
      <c r="M48" s="1"/>
      <c r="N48">
        <v>110.98</v>
      </c>
      <c r="O48" s="1"/>
      <c r="P48">
        <v>263.89999999999998</v>
      </c>
      <c r="Q48" s="1"/>
      <c r="R48">
        <v>153.12</v>
      </c>
      <c r="S48" s="1"/>
      <c r="T48">
        <v>63.84</v>
      </c>
      <c r="U48" s="1"/>
      <c r="V48">
        <v>878.31</v>
      </c>
      <c r="AC48" s="1"/>
      <c r="AD48">
        <v>129.84</v>
      </c>
      <c r="AG48" s="1"/>
      <c r="AH48">
        <v>18.350000000000001</v>
      </c>
      <c r="AI48" s="1"/>
      <c r="AJ48">
        <v>110.85</v>
      </c>
      <c r="AK48" s="1"/>
      <c r="AL48">
        <v>29.1</v>
      </c>
      <c r="AM48" s="1"/>
      <c r="AN48">
        <v>552.20000000000005</v>
      </c>
      <c r="AO48" s="1"/>
      <c r="AP48">
        <v>98.116</v>
      </c>
      <c r="AQ48" s="1"/>
      <c r="AR48">
        <v>99.908000000000001</v>
      </c>
      <c r="AS48" s="1"/>
      <c r="AT48">
        <v>114.611</v>
      </c>
      <c r="AU48" s="1"/>
      <c r="AV48">
        <v>109.172</v>
      </c>
      <c r="AW48" s="1"/>
      <c r="AX48">
        <v>107.90300000000001</v>
      </c>
      <c r="AY48" s="1"/>
    </row>
    <row r="49" spans="1:51" x14ac:dyDescent="0.35">
      <c r="A49" s="1">
        <v>45694</v>
      </c>
      <c r="B49">
        <v>22.73</v>
      </c>
      <c r="C49" s="1"/>
      <c r="D49">
        <v>122.31</v>
      </c>
      <c r="E49" s="1"/>
      <c r="F49">
        <v>319.99</v>
      </c>
      <c r="G49" s="3"/>
      <c r="H49">
        <v>62.72</v>
      </c>
      <c r="I49" s="3"/>
      <c r="J49">
        <v>72.56</v>
      </c>
      <c r="K49" s="1"/>
      <c r="L49">
        <v>477.22</v>
      </c>
      <c r="M49" s="1"/>
      <c r="N49">
        <v>110.72</v>
      </c>
      <c r="O49" s="1"/>
      <c r="P49">
        <v>263.43</v>
      </c>
      <c r="Q49" s="1"/>
      <c r="R49">
        <v>153.51</v>
      </c>
      <c r="S49" s="1"/>
      <c r="T49">
        <v>63.36</v>
      </c>
      <c r="U49" s="1"/>
      <c r="V49">
        <v>870.37</v>
      </c>
      <c r="AC49" s="1"/>
      <c r="AD49">
        <v>128.68</v>
      </c>
      <c r="AG49" s="1"/>
      <c r="AH49">
        <v>17.399999999999999</v>
      </c>
      <c r="AI49" s="1"/>
      <c r="AJ49">
        <v>111.28</v>
      </c>
      <c r="AK49" s="1"/>
      <c r="AL49">
        <v>28.36</v>
      </c>
      <c r="AM49" s="1"/>
      <c r="AN49">
        <v>557.62</v>
      </c>
      <c r="AO49" s="1"/>
      <c r="AP49">
        <v>98.7</v>
      </c>
      <c r="AQ49" s="1"/>
      <c r="AR49">
        <v>100.509</v>
      </c>
      <c r="AS49" s="1"/>
      <c r="AT49">
        <v>114.75</v>
      </c>
      <c r="AU49" s="1"/>
      <c r="AV49">
        <v>109.708</v>
      </c>
      <c r="AW49" s="1"/>
      <c r="AX49">
        <v>108.509</v>
      </c>
      <c r="AY49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2779-EF06-48E5-9DD7-F5D8375B256B}">
  <dimension ref="A1:N35"/>
  <sheetViews>
    <sheetView tabSelected="1" topLeftCell="A15" workbookViewId="0">
      <selection activeCell="Q21" sqref="Q21"/>
    </sheetView>
  </sheetViews>
  <sheetFormatPr defaultRowHeight="14.5" x14ac:dyDescent="0.35"/>
  <cols>
    <col min="1" max="1" width="23.36328125" bestFit="1" customWidth="1"/>
    <col min="2" max="2" width="13.6328125" style="7" bestFit="1" customWidth="1"/>
    <col min="3" max="3" width="10.08984375" style="4" bestFit="1" customWidth="1"/>
    <col min="4" max="4" width="13.6328125" style="4" bestFit="1" customWidth="1"/>
    <col min="5" max="5" width="12.6328125" style="4" bestFit="1" customWidth="1"/>
    <col min="6" max="6" width="14.6328125" style="4" bestFit="1" customWidth="1"/>
    <col min="7" max="7" width="10.08984375" style="4" bestFit="1" customWidth="1"/>
    <col min="8" max="8" width="14.6328125" style="4" bestFit="1" customWidth="1"/>
    <col min="9" max="9" width="12.6328125" style="4" bestFit="1" customWidth="1"/>
    <col min="10" max="10" width="14.6328125" style="4" bestFit="1" customWidth="1"/>
    <col min="11" max="11" width="13.6328125" bestFit="1" customWidth="1"/>
    <col min="12" max="12" width="17.453125" bestFit="1" customWidth="1"/>
  </cols>
  <sheetData>
    <row r="1" spans="1:14" x14ac:dyDescent="0.35">
      <c r="A1" s="17" t="s">
        <v>28</v>
      </c>
      <c r="B1" s="25" t="s">
        <v>29</v>
      </c>
      <c r="C1" s="19" t="s">
        <v>30</v>
      </c>
      <c r="D1" s="19" t="s">
        <v>70</v>
      </c>
      <c r="E1" s="19"/>
      <c r="F1" s="19"/>
      <c r="G1" s="19" t="s">
        <v>30</v>
      </c>
      <c r="H1" s="19" t="s">
        <v>33</v>
      </c>
      <c r="I1" s="19"/>
      <c r="J1" s="20"/>
    </row>
    <row r="2" spans="1:14" x14ac:dyDescent="0.35">
      <c r="A2" s="18"/>
      <c r="B2" s="26"/>
      <c r="C2" s="23"/>
      <c r="D2" s="8" t="s">
        <v>31</v>
      </c>
      <c r="E2" s="8" t="s">
        <v>67</v>
      </c>
      <c r="F2" s="8" t="s">
        <v>32</v>
      </c>
      <c r="G2" s="23"/>
      <c r="H2" s="8" t="s">
        <v>31</v>
      </c>
      <c r="I2" s="8" t="s">
        <v>67</v>
      </c>
      <c r="J2" s="9" t="s">
        <v>32</v>
      </c>
    </row>
    <row r="3" spans="1:14" x14ac:dyDescent="0.35">
      <c r="A3" s="10" t="s">
        <v>34</v>
      </c>
      <c r="B3" s="11"/>
      <c r="C3" s="8"/>
      <c r="D3" s="12">
        <v>4484630.42</v>
      </c>
      <c r="E3" s="8"/>
      <c r="F3" s="8">
        <f>D3</f>
        <v>4484630.42</v>
      </c>
      <c r="G3" s="8"/>
      <c r="H3" s="8"/>
      <c r="I3" s="8"/>
      <c r="J3" s="9">
        <f>F3</f>
        <v>4484630.42</v>
      </c>
      <c r="K3" s="4"/>
      <c r="L3" s="4"/>
      <c r="M3" s="4" t="s">
        <v>68</v>
      </c>
      <c r="N3" s="5"/>
    </row>
    <row r="4" spans="1:14" x14ac:dyDescent="0.35">
      <c r="A4" s="13" t="s">
        <v>35</v>
      </c>
      <c r="B4" s="11">
        <v>48567</v>
      </c>
      <c r="C4" s="8">
        <v>18.91</v>
      </c>
      <c r="D4" s="8">
        <f>B4*C4</f>
        <v>918401.97</v>
      </c>
      <c r="E4" s="8">
        <v>0</v>
      </c>
      <c r="F4" s="8">
        <f>D4</f>
        <v>918401.97</v>
      </c>
      <c r="G4" s="8">
        <v>20.59</v>
      </c>
      <c r="H4" s="8">
        <f>G4*B4</f>
        <v>999994.53</v>
      </c>
      <c r="I4" s="8">
        <v>0</v>
      </c>
      <c r="J4" s="9">
        <f>H4</f>
        <v>999994.53</v>
      </c>
      <c r="M4" t="s">
        <v>69</v>
      </c>
      <c r="N4" s="6"/>
    </row>
    <row r="5" spans="1:14" x14ac:dyDescent="0.35">
      <c r="A5" s="14" t="s">
        <v>36</v>
      </c>
      <c r="B5" s="11">
        <v>6207</v>
      </c>
      <c r="C5" s="8">
        <v>112.72</v>
      </c>
      <c r="D5" s="8">
        <f t="shared" ref="D5:D29" si="0">B5*C5</f>
        <v>699653.04</v>
      </c>
      <c r="E5" s="8">
        <v>0</v>
      </c>
      <c r="F5" s="8">
        <f t="shared" ref="F5:F24" si="1">D5</f>
        <v>699653.04</v>
      </c>
      <c r="G5" s="8">
        <v>120.83</v>
      </c>
      <c r="H5" s="8">
        <f t="shared" ref="H5:H29" si="2">G5*B5</f>
        <v>749991.80999999994</v>
      </c>
      <c r="I5" s="8">
        <v>0</v>
      </c>
      <c r="J5" s="9">
        <f t="shared" ref="J5:J24" si="3">H5</f>
        <v>749991.80999999994</v>
      </c>
    </row>
    <row r="6" spans="1:14" x14ac:dyDescent="0.35">
      <c r="A6" s="14" t="s">
        <v>62</v>
      </c>
      <c r="B6" s="11">
        <v>740</v>
      </c>
      <c r="C6" s="8">
        <v>335.56</v>
      </c>
      <c r="D6" s="8">
        <f t="shared" si="0"/>
        <v>248314.4</v>
      </c>
      <c r="E6" s="8">
        <v>0</v>
      </c>
      <c r="F6" s="8">
        <f t="shared" si="1"/>
        <v>248314.4</v>
      </c>
      <c r="G6" s="8">
        <v>337.74</v>
      </c>
      <c r="H6" s="8">
        <f t="shared" si="2"/>
        <v>249927.6</v>
      </c>
      <c r="I6" s="8">
        <v>0</v>
      </c>
      <c r="J6" s="9">
        <f t="shared" si="3"/>
        <v>249927.6</v>
      </c>
    </row>
    <row r="7" spans="1:14" x14ac:dyDescent="0.35">
      <c r="A7" s="13" t="s">
        <v>37</v>
      </c>
      <c r="B7" s="11">
        <v>4493</v>
      </c>
      <c r="C7" s="8">
        <v>46.55</v>
      </c>
      <c r="D7" s="8">
        <f t="shared" si="0"/>
        <v>209149.15</v>
      </c>
      <c r="E7" s="8">
        <v>0</v>
      </c>
      <c r="F7" s="8">
        <f t="shared" si="1"/>
        <v>209149.15</v>
      </c>
      <c r="G7" s="8">
        <v>55.64</v>
      </c>
      <c r="H7" s="8">
        <f t="shared" si="2"/>
        <v>249990.52</v>
      </c>
      <c r="I7" s="8">
        <v>0</v>
      </c>
      <c r="J7" s="9">
        <f t="shared" si="3"/>
        <v>249990.52</v>
      </c>
    </row>
    <row r="8" spans="1:14" x14ac:dyDescent="0.35">
      <c r="A8" s="14" t="s">
        <v>38</v>
      </c>
      <c r="B8" s="11">
        <v>10182</v>
      </c>
      <c r="C8" s="8">
        <v>72.61</v>
      </c>
      <c r="D8" s="8">
        <f t="shared" si="0"/>
        <v>739315.02</v>
      </c>
      <c r="E8" s="8">
        <v>0</v>
      </c>
      <c r="F8" s="8">
        <f t="shared" si="1"/>
        <v>739315.02</v>
      </c>
      <c r="G8" s="8">
        <v>73.66</v>
      </c>
      <c r="H8" s="8">
        <f t="shared" si="2"/>
        <v>750006.12</v>
      </c>
      <c r="I8" s="8">
        <v>0</v>
      </c>
      <c r="J8" s="9">
        <f t="shared" si="3"/>
        <v>750006.12</v>
      </c>
    </row>
    <row r="9" spans="1:14" x14ac:dyDescent="0.35">
      <c r="A9" s="14" t="s">
        <v>39</v>
      </c>
      <c r="B9" s="11">
        <v>487</v>
      </c>
      <c r="C9" s="8">
        <v>528.71</v>
      </c>
      <c r="D9" s="8">
        <f t="shared" si="0"/>
        <v>257481.77000000002</v>
      </c>
      <c r="E9" s="8">
        <v>0</v>
      </c>
      <c r="F9" s="8">
        <f t="shared" si="1"/>
        <v>257481.77000000002</v>
      </c>
      <c r="G9" s="8">
        <v>513.83000000000004</v>
      </c>
      <c r="H9" s="8">
        <f t="shared" si="2"/>
        <v>250235.21000000002</v>
      </c>
      <c r="I9" s="8">
        <v>0</v>
      </c>
      <c r="J9" s="9">
        <f t="shared" si="3"/>
        <v>250235.21000000002</v>
      </c>
    </row>
    <row r="10" spans="1:14" x14ac:dyDescent="0.35">
      <c r="A10" s="14" t="s">
        <v>40</v>
      </c>
      <c r="B10" s="11">
        <v>436</v>
      </c>
      <c r="C10" s="8">
        <v>92.3</v>
      </c>
      <c r="D10" s="8">
        <f t="shared" si="0"/>
        <v>40242.799999999996</v>
      </c>
      <c r="E10" s="8">
        <v>0</v>
      </c>
      <c r="F10" s="8">
        <f t="shared" si="1"/>
        <v>40242.799999999996</v>
      </c>
      <c r="G10" s="8">
        <v>92.28</v>
      </c>
      <c r="H10" s="8">
        <f t="shared" si="2"/>
        <v>40234.080000000002</v>
      </c>
      <c r="I10" s="8">
        <v>0</v>
      </c>
      <c r="J10" s="9">
        <f t="shared" si="3"/>
        <v>40234.080000000002</v>
      </c>
    </row>
    <row r="11" spans="1:14" x14ac:dyDescent="0.35">
      <c r="A11" s="14" t="s">
        <v>41</v>
      </c>
      <c r="B11" s="11">
        <v>3798</v>
      </c>
      <c r="C11" s="8">
        <v>297.77999999999997</v>
      </c>
      <c r="D11" s="8">
        <f t="shared" si="0"/>
        <v>1130968.44</v>
      </c>
      <c r="E11" s="8">
        <v>0</v>
      </c>
      <c r="F11" s="8">
        <f t="shared" si="1"/>
        <v>1130968.44</v>
      </c>
      <c r="G11" s="8">
        <v>263.27</v>
      </c>
      <c r="H11" s="8">
        <f t="shared" si="2"/>
        <v>999899.46</v>
      </c>
      <c r="I11" s="8">
        <v>0</v>
      </c>
      <c r="J11" s="9">
        <f t="shared" si="3"/>
        <v>999899.46</v>
      </c>
    </row>
    <row r="12" spans="1:14" x14ac:dyDescent="0.35">
      <c r="A12" s="14" t="s">
        <v>42</v>
      </c>
      <c r="B12" s="11">
        <v>1515</v>
      </c>
      <c r="C12" s="8">
        <v>153.62</v>
      </c>
      <c r="D12" s="8">
        <f t="shared" si="0"/>
        <v>232734.30000000002</v>
      </c>
      <c r="E12" s="8">
        <v>0</v>
      </c>
      <c r="F12" s="8">
        <f t="shared" si="1"/>
        <v>232734.30000000002</v>
      </c>
      <c r="G12" s="8">
        <v>165.02</v>
      </c>
      <c r="H12" s="8">
        <f t="shared" si="2"/>
        <v>250005.30000000002</v>
      </c>
      <c r="I12" s="8">
        <v>0</v>
      </c>
      <c r="J12" s="9">
        <f t="shared" si="3"/>
        <v>250005.30000000002</v>
      </c>
    </row>
    <row r="13" spans="1:14" x14ac:dyDescent="0.35">
      <c r="A13" s="14" t="s">
        <v>43</v>
      </c>
      <c r="B13" s="11">
        <v>3511</v>
      </c>
      <c r="C13" s="8">
        <v>71.86</v>
      </c>
      <c r="D13" s="8">
        <f t="shared" si="0"/>
        <v>252300.46</v>
      </c>
      <c r="E13" s="8">
        <v>0</v>
      </c>
      <c r="F13" s="8">
        <f t="shared" si="1"/>
        <v>252300.46</v>
      </c>
      <c r="G13" s="8">
        <v>71.209999999999994</v>
      </c>
      <c r="H13" s="8">
        <f t="shared" si="2"/>
        <v>250018.30999999997</v>
      </c>
      <c r="I13" s="8">
        <v>0</v>
      </c>
      <c r="J13" s="9">
        <f t="shared" si="3"/>
        <v>250018.30999999997</v>
      </c>
    </row>
    <row r="14" spans="1:14" x14ac:dyDescent="0.35">
      <c r="A14" s="14" t="s">
        <v>44</v>
      </c>
      <c r="B14" s="11">
        <v>543</v>
      </c>
      <c r="C14" s="8">
        <v>757.18</v>
      </c>
      <c r="D14" s="8">
        <f t="shared" si="0"/>
        <v>411148.74</v>
      </c>
      <c r="E14" s="8">
        <v>0</v>
      </c>
      <c r="F14" s="8">
        <f t="shared" si="1"/>
        <v>411148.74</v>
      </c>
      <c r="G14" s="8">
        <v>920.63</v>
      </c>
      <c r="H14" s="8">
        <f t="shared" si="2"/>
        <v>499902.09</v>
      </c>
      <c r="I14" s="8">
        <v>0</v>
      </c>
      <c r="J14" s="9">
        <f t="shared" si="3"/>
        <v>499902.09</v>
      </c>
    </row>
    <row r="15" spans="1:14" x14ac:dyDescent="0.35">
      <c r="A15" s="13" t="s">
        <v>45</v>
      </c>
      <c r="B15" s="11">
        <v>-55</v>
      </c>
      <c r="C15" s="8">
        <v>0.05</v>
      </c>
      <c r="D15" s="8">
        <v>-275</v>
      </c>
      <c r="E15" s="8">
        <v>0</v>
      </c>
      <c r="F15" s="8">
        <f t="shared" si="1"/>
        <v>-275</v>
      </c>
      <c r="G15" s="8">
        <v>1.75</v>
      </c>
      <c r="H15" s="8">
        <f>G15*B15*100</f>
        <v>-9625</v>
      </c>
      <c r="I15" s="8">
        <v>0</v>
      </c>
      <c r="J15" s="9">
        <f t="shared" si="3"/>
        <v>-9625</v>
      </c>
    </row>
    <row r="16" spans="1:14" x14ac:dyDescent="0.35">
      <c r="A16" s="13" t="s">
        <v>46</v>
      </c>
      <c r="B16" s="11">
        <v>55</v>
      </c>
      <c r="C16" s="8">
        <v>135.35</v>
      </c>
      <c r="D16" s="8">
        <v>744425</v>
      </c>
      <c r="E16" s="8">
        <v>0</v>
      </c>
      <c r="F16" s="8">
        <f t="shared" si="1"/>
        <v>744425</v>
      </c>
      <c r="G16" s="8">
        <v>23.51</v>
      </c>
      <c r="H16" s="8">
        <f>G16*B16*100</f>
        <v>129305.00000000001</v>
      </c>
      <c r="I16" s="8">
        <v>0</v>
      </c>
      <c r="J16" s="9">
        <f t="shared" si="3"/>
        <v>129305.00000000001</v>
      </c>
    </row>
    <row r="17" spans="1:10" x14ac:dyDescent="0.35">
      <c r="A17" s="13" t="s">
        <v>47</v>
      </c>
      <c r="B17" s="11">
        <v>30</v>
      </c>
      <c r="C17" s="8">
        <v>205.55</v>
      </c>
      <c r="D17" s="8">
        <v>616650</v>
      </c>
      <c r="E17" s="8">
        <v>0</v>
      </c>
      <c r="F17" s="8">
        <f t="shared" si="1"/>
        <v>616650</v>
      </c>
      <c r="G17" s="8">
        <v>37</v>
      </c>
      <c r="H17" s="8">
        <f>G17*B17*100</f>
        <v>111000</v>
      </c>
      <c r="I17" s="8">
        <v>0</v>
      </c>
      <c r="J17" s="9">
        <f t="shared" si="3"/>
        <v>111000</v>
      </c>
    </row>
    <row r="18" spans="1:10" x14ac:dyDescent="0.35">
      <c r="A18" s="14" t="s">
        <v>48</v>
      </c>
      <c r="B18" s="11">
        <v>405</v>
      </c>
      <c r="C18" s="8">
        <v>112.2</v>
      </c>
      <c r="D18" s="8">
        <f t="shared" si="0"/>
        <v>45441</v>
      </c>
      <c r="E18" s="8">
        <v>0</v>
      </c>
      <c r="F18" s="8">
        <f t="shared" si="1"/>
        <v>45441</v>
      </c>
      <c r="G18" s="8">
        <v>124.92</v>
      </c>
      <c r="H18" s="8">
        <f t="shared" si="2"/>
        <v>50592.6</v>
      </c>
      <c r="I18" s="8">
        <v>0</v>
      </c>
      <c r="J18" s="9">
        <f t="shared" si="3"/>
        <v>50592.6</v>
      </c>
    </row>
    <row r="19" spans="1:10" x14ac:dyDescent="0.35">
      <c r="A19" s="13" t="s">
        <v>49</v>
      </c>
      <c r="B19" s="11">
        <v>-500</v>
      </c>
      <c r="C19" s="8">
        <v>0.01</v>
      </c>
      <c r="D19" s="8">
        <v>-500</v>
      </c>
      <c r="E19" s="8">
        <v>0</v>
      </c>
      <c r="F19" s="8">
        <f t="shared" si="1"/>
        <v>-500</v>
      </c>
      <c r="G19" s="8">
        <v>2.0299999999999998</v>
      </c>
      <c r="H19" s="8">
        <f>G19*B19*100</f>
        <v>-101499.99999999999</v>
      </c>
      <c r="I19" s="8">
        <v>0</v>
      </c>
      <c r="J19" s="9">
        <f t="shared" si="3"/>
        <v>-101499.99999999999</v>
      </c>
    </row>
    <row r="20" spans="1:10" x14ac:dyDescent="0.35">
      <c r="A20" s="13" t="s">
        <v>50</v>
      </c>
      <c r="B20" s="11">
        <v>0</v>
      </c>
      <c r="C20" s="8">
        <v>0</v>
      </c>
      <c r="D20" s="8">
        <f t="shared" si="0"/>
        <v>0</v>
      </c>
      <c r="E20" s="8">
        <v>0</v>
      </c>
      <c r="F20" s="8">
        <f t="shared" si="1"/>
        <v>0</v>
      </c>
      <c r="G20" s="8" t="s">
        <v>64</v>
      </c>
      <c r="H20" s="8">
        <v>0</v>
      </c>
      <c r="I20" s="8">
        <v>0</v>
      </c>
      <c r="J20" s="9">
        <f t="shared" si="3"/>
        <v>0</v>
      </c>
    </row>
    <row r="21" spans="1:10" x14ac:dyDescent="0.35">
      <c r="A21" s="14" t="s">
        <v>51</v>
      </c>
      <c r="B21" s="11">
        <v>1438</v>
      </c>
      <c r="C21" s="8">
        <v>168.47</v>
      </c>
      <c r="D21" s="8">
        <f t="shared" si="0"/>
        <v>242259.86</v>
      </c>
      <c r="E21" s="8">
        <v>0</v>
      </c>
      <c r="F21" s="8">
        <f>D21</f>
        <v>242259.86</v>
      </c>
      <c r="G21" s="8">
        <v>173.84</v>
      </c>
      <c r="H21" s="8">
        <f t="shared" si="2"/>
        <v>249981.92</v>
      </c>
      <c r="I21" s="8">
        <v>0</v>
      </c>
      <c r="J21" s="9">
        <f t="shared" si="3"/>
        <v>249981.92</v>
      </c>
    </row>
    <row r="22" spans="1:10" x14ac:dyDescent="0.35">
      <c r="A22" s="13" t="s">
        <v>52</v>
      </c>
      <c r="B22" s="11">
        <v>2944</v>
      </c>
      <c r="C22" s="8">
        <v>98.4</v>
      </c>
      <c r="D22" s="8">
        <f t="shared" si="0"/>
        <v>289689.60000000003</v>
      </c>
      <c r="E22" s="8">
        <v>0</v>
      </c>
      <c r="F22" s="8">
        <f t="shared" si="1"/>
        <v>289689.60000000003</v>
      </c>
      <c r="G22" s="8">
        <v>84.92</v>
      </c>
      <c r="H22" s="8">
        <f t="shared" si="2"/>
        <v>250004.48000000001</v>
      </c>
      <c r="I22" s="8">
        <v>0</v>
      </c>
      <c r="J22" s="9">
        <f t="shared" si="3"/>
        <v>250004.48000000001</v>
      </c>
    </row>
    <row r="23" spans="1:10" x14ac:dyDescent="0.35">
      <c r="A23" s="13" t="s">
        <v>53</v>
      </c>
      <c r="B23" s="11">
        <v>20161</v>
      </c>
      <c r="C23" s="8">
        <v>22.73</v>
      </c>
      <c r="D23" s="8">
        <f t="shared" si="0"/>
        <v>458259.53</v>
      </c>
      <c r="E23" s="8">
        <v>0</v>
      </c>
      <c r="F23" s="8">
        <f t="shared" si="1"/>
        <v>458259.53</v>
      </c>
      <c r="G23" s="8">
        <v>24.8</v>
      </c>
      <c r="H23" s="8">
        <f t="shared" si="2"/>
        <v>499992.8</v>
      </c>
      <c r="I23" s="8">
        <v>0</v>
      </c>
      <c r="J23" s="9">
        <f t="shared" si="3"/>
        <v>499992.8</v>
      </c>
    </row>
    <row r="24" spans="1:10" x14ac:dyDescent="0.35">
      <c r="A24" s="14" t="s">
        <v>54</v>
      </c>
      <c r="B24" s="11">
        <v>2745</v>
      </c>
      <c r="C24" s="8">
        <v>494.09</v>
      </c>
      <c r="D24" s="8">
        <f t="shared" si="0"/>
        <v>1356277.05</v>
      </c>
      <c r="E24" s="8">
        <v>0</v>
      </c>
      <c r="F24" s="8">
        <f t="shared" si="1"/>
        <v>1356277.05</v>
      </c>
      <c r="G24" s="8">
        <v>546.33000000000004</v>
      </c>
      <c r="H24" s="8">
        <f t="shared" si="2"/>
        <v>1499675.85</v>
      </c>
      <c r="I24" s="8">
        <v>0</v>
      </c>
      <c r="J24" s="9">
        <f t="shared" si="3"/>
        <v>1499675.85</v>
      </c>
    </row>
    <row r="25" spans="1:10" x14ac:dyDescent="0.35">
      <c r="A25" s="13" t="s">
        <v>55</v>
      </c>
      <c r="B25" s="11">
        <v>1503</v>
      </c>
      <c r="C25" s="8">
        <v>98.37</v>
      </c>
      <c r="D25" s="8">
        <f t="shared" si="0"/>
        <v>147850.11000000002</v>
      </c>
      <c r="E25" s="8">
        <v>9769.5</v>
      </c>
      <c r="F25" s="8">
        <f>D25+E25</f>
        <v>157619.61000000002</v>
      </c>
      <c r="G25" s="8">
        <v>99.8</v>
      </c>
      <c r="H25" s="8">
        <f t="shared" si="2"/>
        <v>149999.4</v>
      </c>
      <c r="I25" s="8">
        <v>939.38</v>
      </c>
      <c r="J25" s="9">
        <f>I25+H25</f>
        <v>150938.78</v>
      </c>
    </row>
    <row r="26" spans="1:10" x14ac:dyDescent="0.35">
      <c r="A26" s="13" t="s">
        <v>56</v>
      </c>
      <c r="B26" s="11">
        <v>1480</v>
      </c>
      <c r="C26" s="8">
        <v>99.26</v>
      </c>
      <c r="D26" s="8">
        <f t="shared" si="0"/>
        <v>146904.80000000002</v>
      </c>
      <c r="E26" s="8">
        <v>17988.25</v>
      </c>
      <c r="F26" s="8">
        <f t="shared" ref="F26:F29" si="4">D26+E26</f>
        <v>164893.05000000002</v>
      </c>
      <c r="G26" s="8">
        <v>101.36</v>
      </c>
      <c r="H26" s="8">
        <f t="shared" si="2"/>
        <v>150012.79999999999</v>
      </c>
      <c r="I26" s="8">
        <v>7677.91</v>
      </c>
      <c r="J26" s="9">
        <f t="shared" ref="J26:J32" si="5">I26+H26</f>
        <v>157690.71</v>
      </c>
    </row>
    <row r="27" spans="1:10" x14ac:dyDescent="0.35">
      <c r="A27" s="13" t="s">
        <v>57</v>
      </c>
      <c r="B27" s="11">
        <v>1230</v>
      </c>
      <c r="C27" s="8">
        <v>111.02</v>
      </c>
      <c r="D27" s="8">
        <f t="shared" si="0"/>
        <v>136554.6</v>
      </c>
      <c r="E27" s="8">
        <v>27290.63</v>
      </c>
      <c r="F27" s="8">
        <f t="shared" si="4"/>
        <v>163845.23000000001</v>
      </c>
      <c r="G27" s="8">
        <v>115.49</v>
      </c>
      <c r="H27" s="8">
        <f t="shared" si="2"/>
        <v>142052.69999999998</v>
      </c>
      <c r="I27" s="8">
        <v>13038.85</v>
      </c>
      <c r="J27" s="9">
        <f t="shared" si="5"/>
        <v>155091.54999999999</v>
      </c>
    </row>
    <row r="28" spans="1:10" x14ac:dyDescent="0.35">
      <c r="A28" s="13" t="s">
        <v>58</v>
      </c>
      <c r="B28" s="11">
        <v>900</v>
      </c>
      <c r="C28" s="8">
        <v>109.18</v>
      </c>
      <c r="D28" s="8">
        <f t="shared" si="0"/>
        <v>98262</v>
      </c>
      <c r="E28" s="8">
        <v>12028.34</v>
      </c>
      <c r="F28" s="8">
        <f t="shared" si="4"/>
        <v>110290.34</v>
      </c>
      <c r="G28" s="8">
        <v>111.08</v>
      </c>
      <c r="H28" s="8">
        <f t="shared" si="2"/>
        <v>99972</v>
      </c>
      <c r="I28" s="8">
        <v>4388.72</v>
      </c>
      <c r="J28" s="9">
        <f t="shared" si="5"/>
        <v>104360.72</v>
      </c>
    </row>
    <row r="29" spans="1:10" x14ac:dyDescent="0.35">
      <c r="A29" s="13" t="s">
        <v>59</v>
      </c>
      <c r="B29" s="11">
        <v>922</v>
      </c>
      <c r="C29" s="8">
        <v>107.97</v>
      </c>
      <c r="D29" s="8">
        <f t="shared" si="0"/>
        <v>99548.34</v>
      </c>
      <c r="E29" s="8">
        <v>4858.67</v>
      </c>
      <c r="F29" s="8">
        <f t="shared" si="4"/>
        <v>104407.01</v>
      </c>
      <c r="G29" s="8">
        <v>109.79</v>
      </c>
      <c r="H29" s="8">
        <f t="shared" si="2"/>
        <v>101226.38</v>
      </c>
      <c r="I29" s="8">
        <v>26398.76</v>
      </c>
      <c r="J29" s="9">
        <f t="shared" si="5"/>
        <v>127625.14</v>
      </c>
    </row>
    <row r="30" spans="1:10" x14ac:dyDescent="0.35">
      <c r="A30" s="13" t="s">
        <v>63</v>
      </c>
      <c r="B30" s="11">
        <v>1</v>
      </c>
      <c r="C30" s="8">
        <v>3218.7</v>
      </c>
      <c r="D30" s="8">
        <f>((C30-2848.5)*100*B30)</f>
        <v>37019.999999999985</v>
      </c>
      <c r="E30" s="8">
        <v>0</v>
      </c>
      <c r="F30" s="8">
        <f>D30</f>
        <v>37019.999999999985</v>
      </c>
      <c r="G30" s="8">
        <v>2848.5</v>
      </c>
      <c r="H30" s="8">
        <f>G30*B30*100</f>
        <v>284850</v>
      </c>
      <c r="I30" s="8">
        <v>0</v>
      </c>
      <c r="J30" s="9">
        <f t="shared" si="5"/>
        <v>284850</v>
      </c>
    </row>
    <row r="31" spans="1:10" x14ac:dyDescent="0.35">
      <c r="A31" s="13" t="s">
        <v>60</v>
      </c>
      <c r="B31" s="11">
        <v>50</v>
      </c>
      <c r="C31" s="8">
        <v>199.32</v>
      </c>
      <c r="D31" s="8">
        <v>996600</v>
      </c>
      <c r="E31" s="8">
        <v>0</v>
      </c>
      <c r="F31" s="8">
        <f>D31</f>
        <v>996600</v>
      </c>
      <c r="G31" s="8">
        <v>119.92</v>
      </c>
      <c r="H31" s="8">
        <f>G31*B31*100</f>
        <v>599600</v>
      </c>
      <c r="I31" s="8">
        <v>0</v>
      </c>
      <c r="J31" s="9">
        <f t="shared" si="5"/>
        <v>599600</v>
      </c>
    </row>
    <row r="32" spans="1:10" x14ac:dyDescent="0.35">
      <c r="A32" s="13" t="s">
        <v>61</v>
      </c>
      <c r="B32" s="11">
        <v>75</v>
      </c>
      <c r="C32" s="8">
        <v>854.83</v>
      </c>
      <c r="D32" s="8">
        <f>((5840-5396.62)*100*75)</f>
        <v>3325350.0000000009</v>
      </c>
      <c r="E32" s="8">
        <v>0</v>
      </c>
      <c r="F32" s="8">
        <f>D32</f>
        <v>3325350.0000000009</v>
      </c>
      <c r="G32" s="8">
        <v>128.78</v>
      </c>
      <c r="H32" s="8">
        <f>G32*B32*100</f>
        <v>965850</v>
      </c>
      <c r="I32" s="8">
        <v>0</v>
      </c>
      <c r="J32" s="9">
        <f t="shared" si="5"/>
        <v>965850</v>
      </c>
    </row>
    <row r="33" spans="1:12" x14ac:dyDescent="0.35">
      <c r="A33" s="10"/>
      <c r="B33" s="11"/>
      <c r="C33" s="8"/>
      <c r="D33" s="8"/>
      <c r="E33" s="8"/>
      <c r="F33" s="8"/>
      <c r="G33" s="8"/>
      <c r="H33" s="8"/>
      <c r="I33" s="8"/>
      <c r="J33" s="9"/>
    </row>
    <row r="34" spans="1:12" x14ac:dyDescent="0.35">
      <c r="A34" s="15" t="s">
        <v>65</v>
      </c>
      <c r="B34" s="23">
        <f>SUM(F3:F32)</f>
        <v>18436592.790000003</v>
      </c>
      <c r="C34" s="23"/>
      <c r="D34" s="23"/>
      <c r="E34" s="23"/>
      <c r="F34" s="23"/>
      <c r="G34" s="23">
        <f>SUM(J3:J32)</f>
        <v>15000270.000000004</v>
      </c>
      <c r="H34" s="23"/>
      <c r="I34" s="23"/>
      <c r="J34" s="24"/>
      <c r="L34" s="4"/>
    </row>
    <row r="35" spans="1:12" ht="15" thickBot="1" x14ac:dyDescent="0.4">
      <c r="A35" s="16" t="s">
        <v>66</v>
      </c>
      <c r="B35" s="21">
        <f>B34-G34</f>
        <v>3436322.7899999991</v>
      </c>
      <c r="C35" s="21"/>
      <c r="D35" s="21"/>
      <c r="E35" s="21"/>
      <c r="F35" s="21"/>
      <c r="G35" s="21"/>
      <c r="H35" s="21"/>
      <c r="I35" s="21"/>
      <c r="J35" s="22"/>
    </row>
  </sheetData>
  <mergeCells count="9">
    <mergeCell ref="A1:A2"/>
    <mergeCell ref="D1:F1"/>
    <mergeCell ref="H1:J1"/>
    <mergeCell ref="B35:J35"/>
    <mergeCell ref="B34:F34"/>
    <mergeCell ref="G34:J34"/>
    <mergeCell ref="B1:B2"/>
    <mergeCell ref="C1:C2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Price_data</vt:lpstr>
      <vt:lpstr>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Vijeet Ghatge (He/Him)</dc:creator>
  <cp:lastModifiedBy>Vijeet Ghatge (He/Him)</cp:lastModifiedBy>
  <dcterms:created xsi:type="dcterms:W3CDTF">2025-04-15T20:31:57Z</dcterms:created>
  <dcterms:modified xsi:type="dcterms:W3CDTF">2025-12-06T14:11:03Z</dcterms:modified>
</cp:coreProperties>
</file>